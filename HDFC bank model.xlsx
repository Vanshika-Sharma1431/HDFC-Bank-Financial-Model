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8bb393c615de1a2b/Documents/"/>
    </mc:Choice>
  </mc:AlternateContent>
  <xr:revisionPtr revIDLastSave="77" documentId="8_{BABEC6D6-5A94-4506-BE85-C7C48AE0526E}" xr6:coauthVersionLast="47" xr6:coauthVersionMax="47" xr10:uidLastSave="{3BB9C29D-AB26-4C3A-8F28-72A6D97F1ACD}"/>
  <bookViews>
    <workbookView xWindow="-108" yWindow="-108" windowWidth="23256" windowHeight="12576" activeTab="4" xr2:uid="{00000000-000D-0000-FFFF-FFFF00000000}"/>
  </bookViews>
  <sheets>
    <sheet name="IS" sheetId="1" r:id="rId1"/>
    <sheet name="BS" sheetId="2" r:id="rId2"/>
    <sheet name="CFS" sheetId="3" r:id="rId3"/>
    <sheet name="Assumptions" sheetId="4" r:id="rId4"/>
    <sheet name="DCF" sheetId="5" r:id="rId5"/>
    <sheet name="WM" sheetId="6" r:id="rId6"/>
    <sheet name="DCF( confusion)" sheetId="7" state="hidden" r:id="rId7"/>
    <sheet name="Comp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8" l="1"/>
  <c r="D6" i="8"/>
  <c r="C6" i="8"/>
  <c r="B6" i="8"/>
  <c r="B34" i="7"/>
  <c r="B25" i="7"/>
  <c r="B27" i="7" s="1"/>
  <c r="B14" i="7"/>
  <c r="B12" i="7"/>
  <c r="G4" i="6"/>
  <c r="G3" i="6"/>
  <c r="B34" i="5"/>
  <c r="B25" i="5"/>
  <c r="B14" i="5"/>
  <c r="B12" i="5"/>
  <c r="I8" i="4"/>
  <c r="H8" i="4"/>
  <c r="B8" i="4" s="1"/>
  <c r="B16" i="4" s="1"/>
  <c r="B7" i="4"/>
  <c r="B6" i="4"/>
  <c r="B4" i="4"/>
  <c r="B2" i="4"/>
  <c r="E4" i="3" s="1"/>
  <c r="B12" i="3"/>
  <c r="B16" i="3" s="1"/>
  <c r="D9" i="3"/>
  <c r="D12" i="3" s="1"/>
  <c r="C9" i="3"/>
  <c r="C12" i="3" s="1"/>
  <c r="B9" i="3"/>
  <c r="E5" i="3"/>
  <c r="F5" i="3" s="1"/>
  <c r="G5" i="3" s="1"/>
  <c r="D2" i="3"/>
  <c r="C2" i="3"/>
  <c r="B2" i="3"/>
  <c r="D24" i="2"/>
  <c r="D20" i="2"/>
  <c r="C20" i="2"/>
  <c r="B20" i="2"/>
  <c r="D14" i="2"/>
  <c r="C14" i="2"/>
  <c r="B14" i="2"/>
  <c r="E6" i="2"/>
  <c r="F6" i="2" s="1"/>
  <c r="B15" i="1"/>
  <c r="D13" i="1"/>
  <c r="B3" i="4" s="1"/>
  <c r="C13" i="1"/>
  <c r="B13" i="1"/>
  <c r="D9" i="1"/>
  <c r="B5" i="4" s="1"/>
  <c r="C9" i="1"/>
  <c r="B9" i="1"/>
  <c r="E2" i="1"/>
  <c r="C16" i="3" l="1"/>
  <c r="C21" i="2"/>
  <c r="D16" i="3"/>
  <c r="D21" i="2"/>
  <c r="E11" i="3"/>
  <c r="G6" i="2"/>
  <c r="F15" i="2"/>
  <c r="F4" i="3"/>
  <c r="E15" i="2"/>
  <c r="B27" i="5"/>
  <c r="F2" i="1"/>
  <c r="E7" i="1"/>
  <c r="F7" i="1" s="1"/>
  <c r="G7" i="1" s="1"/>
  <c r="H7" i="1" s="1"/>
  <c r="I7" i="1" s="1"/>
  <c r="E6" i="3"/>
  <c r="F6" i="3" s="1"/>
  <c r="G6" i="3" s="1"/>
  <c r="B21" i="2"/>
  <c r="E6" i="1"/>
  <c r="F6" i="1" s="1"/>
  <c r="G6" i="1" s="1"/>
  <c r="H6" i="1" s="1"/>
  <c r="I6" i="1" s="1"/>
  <c r="E3" i="1"/>
  <c r="F3" i="1" s="1"/>
  <c r="G3" i="1" s="1"/>
  <c r="H3" i="1" s="1"/>
  <c r="I3" i="1" s="1"/>
  <c r="E4" i="1" l="1"/>
  <c r="E13" i="1"/>
  <c r="D12" i="4" s="1"/>
  <c r="E9" i="3"/>
  <c r="E12" i="3" s="1"/>
  <c r="F11" i="3" s="1"/>
  <c r="F13" i="1"/>
  <c r="E12" i="4" s="1"/>
  <c r="F4" i="1"/>
  <c r="G2" i="1"/>
  <c r="F9" i="3"/>
  <c r="F12" i="3" s="1"/>
  <c r="G11" i="3" s="1"/>
  <c r="G4" i="3"/>
  <c r="G9" i="3" s="1"/>
  <c r="H6" i="2"/>
  <c r="G15" i="2"/>
  <c r="F5" i="1" l="1"/>
  <c r="G12" i="3"/>
  <c r="H2" i="1"/>
  <c r="G4" i="1"/>
  <c r="G13" i="1"/>
  <c r="F12" i="4" s="1"/>
  <c r="H15" i="2"/>
  <c r="I6" i="2"/>
  <c r="I15" i="2" s="1"/>
  <c r="E5" i="1"/>
  <c r="G5" i="1" l="1"/>
  <c r="H4" i="1"/>
  <c r="I2" i="1"/>
  <c r="H13" i="1"/>
  <c r="G12" i="4" s="1"/>
  <c r="D13" i="4"/>
  <c r="E8" i="1"/>
  <c r="E9" i="1" s="1"/>
  <c r="E13" i="4"/>
  <c r="F8" i="1"/>
  <c r="F9" i="1" s="1"/>
  <c r="E10" i="1" l="1"/>
  <c r="E11" i="1"/>
  <c r="I4" i="1"/>
  <c r="I13" i="1"/>
  <c r="H12" i="4" s="1"/>
  <c r="H5" i="1"/>
  <c r="F10" i="1"/>
  <c r="F11" i="1"/>
  <c r="F13" i="4"/>
  <c r="G8" i="1"/>
  <c r="G9" i="1" s="1"/>
  <c r="C26" i="5" l="1"/>
  <c r="F14" i="2"/>
  <c r="C2" i="7"/>
  <c r="F2" i="3"/>
  <c r="C2" i="5"/>
  <c r="C26" i="7"/>
  <c r="H8" i="1"/>
  <c r="H9" i="1" s="1"/>
  <c r="G13" i="4"/>
  <c r="I5" i="1"/>
  <c r="G10" i="1"/>
  <c r="G11" i="1"/>
  <c r="B2" i="5"/>
  <c r="B26" i="5"/>
  <c r="B28" i="5" s="1"/>
  <c r="B29" i="5" s="1"/>
  <c r="E14" i="2"/>
  <c r="E13" i="2"/>
  <c r="B2" i="7"/>
  <c r="B26" i="7"/>
  <c r="B28" i="7" s="1"/>
  <c r="B29" i="7" s="1"/>
  <c r="E2" i="3"/>
  <c r="C25" i="7" l="1"/>
  <c r="C27" i="7" s="1"/>
  <c r="C28" i="7" s="1"/>
  <c r="C29" i="7" s="1"/>
  <c r="E18" i="2"/>
  <c r="E3" i="2" s="1"/>
  <c r="F13" i="2"/>
  <c r="E24" i="2"/>
  <c r="C25" i="5"/>
  <c r="C27" i="5" s="1"/>
  <c r="C28" i="5" s="1"/>
  <c r="C29" i="5" s="1"/>
  <c r="B3" i="5"/>
  <c r="B4" i="5" s="1"/>
  <c r="B6" i="5" s="1"/>
  <c r="B3" i="7"/>
  <c r="B4" i="7" s="1"/>
  <c r="B6" i="7" s="1"/>
  <c r="H10" i="1"/>
  <c r="H11" i="1"/>
  <c r="D2" i="5"/>
  <c r="D2" i="7"/>
  <c r="D26" i="7"/>
  <c r="G2" i="3"/>
  <c r="D26" i="5"/>
  <c r="G14" i="2"/>
  <c r="H13" i="4"/>
  <c r="I8" i="1"/>
  <c r="I9" i="1" s="1"/>
  <c r="E9" i="2" l="1"/>
  <c r="E20" i="2" s="1"/>
  <c r="E21" i="2"/>
  <c r="E25" i="2"/>
  <c r="D11" i="4" s="1"/>
  <c r="D14" i="4" s="1"/>
  <c r="F18" i="2"/>
  <c r="F3" i="2" s="1"/>
  <c r="F24" i="2"/>
  <c r="F25" i="2" s="1"/>
  <c r="C3" i="5"/>
  <c r="C4" i="5" s="1"/>
  <c r="C6" i="5" s="1"/>
  <c r="C3" i="7"/>
  <c r="C4" i="7" s="1"/>
  <c r="C6" i="7" s="1"/>
  <c r="D25" i="5"/>
  <c r="D27" i="5" s="1"/>
  <c r="D25" i="7"/>
  <c r="D27" i="7" s="1"/>
  <c r="D28" i="7" s="1"/>
  <c r="D29" i="7" s="1"/>
  <c r="G13" i="2"/>
  <c r="E11" i="4"/>
  <c r="E14" i="4" s="1"/>
  <c r="E26" i="7"/>
  <c r="H14" i="2"/>
  <c r="E26" i="5"/>
  <c r="E2" i="7"/>
  <c r="E2" i="5"/>
  <c r="D28" i="5"/>
  <c r="D29" i="5" s="1"/>
  <c r="I11" i="1"/>
  <c r="I10" i="1"/>
  <c r="G24" i="2" l="1"/>
  <c r="D3" i="5"/>
  <c r="D4" i="5" s="1"/>
  <c r="D6" i="5" s="1"/>
  <c r="H13" i="2"/>
  <c r="G18" i="2"/>
  <c r="G3" i="2" s="1"/>
  <c r="D3" i="7"/>
  <c r="D4" i="7" s="1"/>
  <c r="D6" i="7" s="1"/>
  <c r="E25" i="5"/>
  <c r="E27" i="5" s="1"/>
  <c r="E25" i="7"/>
  <c r="E27" i="7" s="1"/>
  <c r="E28" i="7" s="1"/>
  <c r="E29" i="7" s="1"/>
  <c r="F11" i="4"/>
  <c r="F14" i="4" s="1"/>
  <c r="F9" i="2"/>
  <c r="F20" i="2" s="1"/>
  <c r="F21" i="2"/>
  <c r="E28" i="5"/>
  <c r="E29" i="5" s="1"/>
  <c r="F26" i="7"/>
  <c r="F2" i="7"/>
  <c r="F2" i="5"/>
  <c r="F26" i="5"/>
  <c r="I14" i="2"/>
  <c r="G25" i="2"/>
  <c r="G21" i="2" l="1"/>
  <c r="G9" i="2"/>
  <c r="G20" i="2" s="1"/>
  <c r="F28" i="5"/>
  <c r="E3" i="5"/>
  <c r="E4" i="5" s="1"/>
  <c r="E6" i="5" s="1"/>
  <c r="H24" i="2"/>
  <c r="E3" i="7"/>
  <c r="E4" i="7" s="1"/>
  <c r="E6" i="7" s="1"/>
  <c r="F25" i="5"/>
  <c r="F27" i="5" s="1"/>
  <c r="I13" i="2"/>
  <c r="F25" i="7"/>
  <c r="F27" i="7" s="1"/>
  <c r="F28" i="7" s="1"/>
  <c r="H18" i="2"/>
  <c r="H3" i="2" s="1"/>
  <c r="G11" i="4"/>
  <c r="G14" i="4" s="1"/>
  <c r="H25" i="2"/>
  <c r="F29" i="7" l="1"/>
  <c r="B35" i="7" s="1"/>
  <c r="B36" i="7" s="1"/>
  <c r="B38" i="7" s="1"/>
  <c r="B39" i="7" s="1"/>
  <c r="F31" i="7"/>
  <c r="F32" i="7" s="1"/>
  <c r="F3" i="7"/>
  <c r="F4" i="7" s="1"/>
  <c r="I18" i="2"/>
  <c r="I3" i="2" s="1"/>
  <c r="I24" i="2"/>
  <c r="F3" i="5"/>
  <c r="F4" i="5" s="1"/>
  <c r="H11" i="4"/>
  <c r="H14" i="4" s="1"/>
  <c r="H9" i="2"/>
  <c r="H20" i="2" s="1"/>
  <c r="H21" i="2"/>
  <c r="I25" i="2"/>
  <c r="F29" i="5"/>
  <c r="B35" i="5" s="1"/>
  <c r="F31" i="5"/>
  <c r="F32" i="5" s="1"/>
  <c r="F16" i="5" l="1"/>
  <c r="F18" i="5" s="1"/>
  <c r="B20" i="5" s="1"/>
  <c r="B22" i="5" s="1"/>
  <c r="F6" i="5"/>
  <c r="I9" i="2"/>
  <c r="I20" i="2" s="1"/>
  <c r="I21" i="2"/>
  <c r="B36" i="5"/>
  <c r="B38" i="5" s="1"/>
  <c r="F6" i="7"/>
  <c r="F16" i="7"/>
  <c r="F18" i="7" s="1"/>
  <c r="B20" i="7" s="1"/>
  <c r="B22" i="7" s="1"/>
  <c r="F49" i="5"/>
  <c r="D45" i="5"/>
  <c r="C47" i="5"/>
  <c r="C46" i="5"/>
  <c r="F46" i="5"/>
  <c r="D48" i="5"/>
  <c r="E47" i="5"/>
  <c r="C49" i="5"/>
  <c r="C48" i="5"/>
  <c r="C45" i="5"/>
  <c r="F48" i="5"/>
  <c r="D47" i="5"/>
  <c r="E49" i="5"/>
  <c r="E46" i="5"/>
  <c r="F45" i="5"/>
  <c r="G49" i="5"/>
  <c r="G47" i="5"/>
  <c r="G48" i="5"/>
  <c r="D49" i="5"/>
  <c r="D46" i="5"/>
  <c r="E45" i="5"/>
  <c r="F47" i="5"/>
  <c r="E48" i="5"/>
  <c r="G45" i="5"/>
  <c r="G46" i="5"/>
  <c r="B44" i="5" l="1"/>
  <c r="B39" i="5"/>
</calcChain>
</file>

<file path=xl/sharedStrings.xml><?xml version="1.0" encoding="utf-8"?>
<sst xmlns="http://schemas.openxmlformats.org/spreadsheetml/2006/main" count="265" uniqueCount="197">
  <si>
    <t>FY23</t>
  </si>
  <si>
    <t>FY24</t>
  </si>
  <si>
    <t>FY25</t>
  </si>
  <si>
    <t>FY26</t>
  </si>
  <si>
    <t>FY27</t>
  </si>
  <si>
    <t>FY28</t>
  </si>
  <si>
    <t>FY29</t>
  </si>
  <si>
    <t>FY30</t>
  </si>
  <si>
    <t>Interest Income</t>
  </si>
  <si>
    <t>next round no</t>
  </si>
  <si>
    <t>Other Income</t>
  </si>
  <si>
    <t>provisiosns have tax included</t>
  </si>
  <si>
    <t>Total Revenue</t>
  </si>
  <si>
    <t>2023 values are pre merger</t>
  </si>
  <si>
    <t>Operating Expenses</t>
  </si>
  <si>
    <t>Interest Expenses</t>
  </si>
  <si>
    <t>all values from statements</t>
  </si>
  <si>
    <t>Provisions (includes tax)</t>
  </si>
  <si>
    <t>Total Expenses</t>
  </si>
  <si>
    <t>Operating Expenses = Total Revenue(cy) × Cost-to-Income ratio,</t>
  </si>
  <si>
    <t>Profit before Tax</t>
  </si>
  <si>
    <t>Tax</t>
  </si>
  <si>
    <t>Profit after Tax (PAT)</t>
  </si>
  <si>
    <t>note - Operating Expenses are 
modeled as a function of the 
Cost-to-Income ratio, while other
 expense lines are grown at the 
overall revenue growth rate -
 this produces slightly different 
expense dynamics in early 
projection years</t>
  </si>
  <si>
    <t>Net Interest income</t>
  </si>
  <si>
    <t xml:space="preserve">FY25 ROE </t>
  </si>
  <si>
    <t>ASSETS</t>
  </si>
  <si>
    <t>Cash &amp; Balances with RBI</t>
  </si>
  <si>
    <t>BS cash</t>
  </si>
  <si>
    <t xml:space="preserve">Balances with banks and money at 
call and short notice </t>
  </si>
  <si>
    <t>Investments</t>
  </si>
  <si>
    <t>Advances</t>
  </si>
  <si>
    <t>Fixed Assets</t>
  </si>
  <si>
    <t>Other Assets</t>
  </si>
  <si>
    <t>Total Assets</t>
  </si>
  <si>
    <t>LIABILITIES</t>
  </si>
  <si>
    <t>Capital</t>
  </si>
  <si>
    <t>ESOP Outstanding</t>
  </si>
  <si>
    <t>Reserves &amp; Surplus</t>
  </si>
  <si>
    <t>Current Year PAT (included already in R/S)</t>
  </si>
  <si>
    <t xml:space="preserve"> </t>
  </si>
  <si>
    <t>Deposits</t>
  </si>
  <si>
    <t>Borrowings</t>
  </si>
  <si>
    <t>Other Liabilities</t>
  </si>
  <si>
    <t>Total Liabilities</t>
  </si>
  <si>
    <t>Check row (TA-TL=0)</t>
  </si>
  <si>
    <t>CHECK - BS CASH = CFS CLOSING CASH</t>
  </si>
  <si>
    <t>advances grow based on loan growth rate and 
deposits are advances / cd ratio</t>
  </si>
  <si>
    <t>TOTAL SH. HOLDERS EQUITY</t>
  </si>
  <si>
    <t>R&amp;s= (PY) R&amp;S+PAT(cy)</t>
  </si>
  <si>
    <t>AVG EQUITY</t>
  </si>
  <si>
    <t>cash balances is balancing figure in future years</t>
  </si>
  <si>
    <t>Net Profit (already included in totals)</t>
  </si>
  <si>
    <t>Cash Flow from Operating Activities</t>
  </si>
  <si>
    <t>cash flows assumed to be grown at rev growth %</t>
  </si>
  <si>
    <t>Cash Flow from Investing Activities</t>
  </si>
  <si>
    <t>Cash Flow from Financing Activities</t>
  </si>
  <si>
    <t>Effect of fluctuation in foreign currency translation reserve</t>
  </si>
  <si>
    <t>Net Increase/Decrease in Cash</t>
  </si>
  <si>
    <t>Cash acquired on amalagamation</t>
  </si>
  <si>
    <t>Opening Cash Balance</t>
  </si>
  <si>
    <t>Closing Cash Balance</t>
  </si>
  <si>
    <t>CHECK</t>
  </si>
  <si>
    <t>Check (Closing Cash per report)</t>
  </si>
  <si>
    <t>Difference (should be 0, "TRUE")</t>
  </si>
  <si>
    <t>In % 2025</t>
  </si>
  <si>
    <t>Revenue Growth %</t>
  </si>
  <si>
    <t>NIM % (Net Interest Margin)</t>
  </si>
  <si>
    <t>Cost to Income %</t>
  </si>
  <si>
    <t>Tax Rate %</t>
  </si>
  <si>
    <t>Loan Growth%</t>
  </si>
  <si>
    <t>For Dividend payout ratio</t>
  </si>
  <si>
    <t>Credit-Deposit Ratio</t>
  </si>
  <si>
    <t xml:space="preserve"> =adv/deposits</t>
  </si>
  <si>
    <t>fy 25</t>
  </si>
  <si>
    <t>fy24</t>
  </si>
  <si>
    <t>Dividend Payout ratio (didvidend per shares/earnings per share - basic)</t>
  </si>
  <si>
    <t>SANITY CHECK</t>
  </si>
  <si>
    <t xml:space="preserve">RATIOS </t>
  </si>
  <si>
    <t>Return on Equity = Net Profit (PAT) ÷ Avg Equity</t>
  </si>
  <si>
    <t>NIM = Net Interest Income ÷ Advances</t>
  </si>
  <si>
    <t>Cost to income ratio</t>
  </si>
  <si>
    <t>Sustainable Growth Rate (ROE x Retention Ratio)</t>
  </si>
  <si>
    <t>retention ratio = 100% - CD Ratio</t>
  </si>
  <si>
    <t>fy24 and fy25 compariosn is more compatible as fy23 is pre merger values</t>
  </si>
  <si>
    <t>NIM= net int income / advances</t>
  </si>
  <si>
    <t>Cost to income = op exp / total rev</t>
  </si>
  <si>
    <t>ROE (Return on Equity): 11.10% to 11.00% to 11.31% to 11.60% to 11.88%</t>
  </si>
  <si>
    <t xml:space="preserve">
Lower than HDFC Bank's typical 15-18% range, mainly due to the HDFC Ltd 
merger (completed July 2023), which increased the equity base. Profit is still 
catching up, so lower ROE is expected.
Small dip in FY27 (11.10% to 11.00%) happens because equity 
grew slightly faster than profit that year. </t>
  </si>
  <si>
    <t>NIM (Net Interest Margin): 5.00% → 5.34% → 5.70% → 6.08% → 6.49%
Calculated as Net Interest Income divided by Advances. Slightly 
higher than the typical 3.5-4.5% range for Indian banks, but reasonable
 for a well-performing bank like HDFC.
NIM rises steadily each year as Interest Income grows faster than Advances, 
reflecting improving yields as the bank scales post-merger.</t>
  </si>
  <si>
    <t>Net Income</t>
  </si>
  <si>
    <t>Equity Reinvestments (R&amp;S(py)-R&amp;S(cy))</t>
  </si>
  <si>
    <t>FCFE (Free Cash Flow to Equity)</t>
  </si>
  <si>
    <t xml:space="preserve">Years  away </t>
  </si>
  <si>
    <t>Discounted FCFE</t>
  </si>
  <si>
    <t>Risk-Free Rate</t>
  </si>
  <si>
    <t>Beta</t>
  </si>
  <si>
    <t>Equity Risk Premium</t>
  </si>
  <si>
    <t>Cost of Equity = Risk-Free Rate + Beta × Equity Risk Premium</t>
  </si>
  <si>
    <t>Terminal Growth Rate (=here, sustainale growth rate)</t>
  </si>
  <si>
    <t>Terminal Value = FY30 FCFE × 1.08 ÷ (Cost of Equity − 8%)</t>
  </si>
  <si>
    <t>(from fy31 onwards)</t>
  </si>
  <si>
    <t>Discounted Terminal Value</t>
  </si>
  <si>
    <t>Equity Value</t>
  </si>
  <si>
    <t>Shares Outstanding</t>
  </si>
  <si>
    <t>(1230757 cr mkt cap / 799 (current MP)</t>
  </si>
  <si>
    <t>Intrinsic Value per share</t>
  </si>
  <si>
    <t>EXCESS RETURN METHOD</t>
  </si>
  <si>
    <t>Beginning Book Value</t>
  </si>
  <si>
    <t xml:space="preserve"> Net Income</t>
  </si>
  <si>
    <t>Required Return (CoE × Beg. BV)</t>
  </si>
  <si>
    <t>Excess Return</t>
  </si>
  <si>
    <t xml:space="preserve"> Discounted Excess Return</t>
  </si>
  <si>
    <t>Terminal Value (Excess Return)</t>
  </si>
  <si>
    <t>Disc terminal value (excess return)</t>
  </si>
  <si>
    <t>Current Book Value (FY25)</t>
  </si>
  <si>
    <t>Sum of Discounted Excess Returns</t>
  </si>
  <si>
    <t>Total Equity Value (Excess Return Method)</t>
  </si>
  <si>
    <t>Intrinsic Value per Share</t>
  </si>
  <si>
    <t>Upside/Downside  -DOWNSIDE</t>
  </si>
  <si>
    <t>Sensitivity Analysis — Excess Return Intrinsic Value per Share (₹)</t>
  </si>
  <si>
    <t>CoE ↓ / Terminal Growth Rate →</t>
  </si>
  <si>
    <t>Cost of Equity</t>
  </si>
  <si>
    <t>N/A as Terminal Growth Rate cannot exceed Cost of Equity</t>
  </si>
  <si>
    <t>Market Price: ₹799</t>
  </si>
  <si>
    <t>Base Case (CoE 14.23%, g 8%): ₹244</t>
  </si>
  <si>
    <t>All cells red = stock appears overvalued across all assumption combinations</t>
  </si>
  <si>
    <t>What my model found:</t>
  </si>
  <si>
    <t>I valued HDFC Bank two different ways — using the same cost of equity (14.23%) for both, so they're a fair comparison:</t>
  </si>
  <si>
    <t>Method 1 (FCFE): says the stock is worth ₹165</t>
  </si>
  <si>
    <t>Method 2 (Excess Return): says the stock is worth ₹244</t>
  </si>
  <si>
    <t>The actual market price is ₹799.</t>
  </si>
  <si>
    <t>Both methods land well below the market price — not just one of them. That actually makes this a stronger finding, not a weaker one, because two different approaches agreeing with each other is more convincing than just one number.</t>
  </si>
  <si>
    <t>Why the gap exists:</t>
  </si>
  <si>
    <t>My model shows HDFC Bank's ROE (how much profit it makes on shareholder money) at around 11%. But I calculated that shareholders</t>
  </si>
  <si>
    <t>should expect at least 14.23% as a fair return, given the stock's risk level. Since the bank is earning less than that "required" amount, my model sees less value being created than the market price suggests.</t>
  </si>
  <si>
    <t>There are two honest explanations for why the market price is still higher than what my model shows:</t>
  </si>
  <si>
    <t>The market might be expecting HDFC Bank's ROE to improve in the next few years, as it fully settles after its big merger with HDFC Ltd — and my model's projections may be too conservative about that recovery.</t>
  </si>
  <si>
    <t>The market might be using a lower required return (cost of equity) than the 14.23% I calculated - meaning investors see HDFC Bank as less risky than my model assumes.</t>
  </si>
  <si>
    <t>In one sentence: my model says the stock looks expensive right now based on current profitability, but that conclusion depends a lot on assumptions (like future ROE and required return) that are genuinely</t>
  </si>
  <si>
    <t>uncertain - which is normal and expected for any DCF model, not a flaw in the analysis.</t>
  </si>
  <si>
    <t>Company Snapshot</t>
  </si>
  <si>
    <t>Valuation Summary</t>
  </si>
  <si>
    <t>Company Name</t>
  </si>
  <si>
    <t>HDFC Bank Ltd</t>
  </si>
  <si>
    <t>Method</t>
  </si>
  <si>
    <t>Intrinsic Value</t>
  </si>
  <si>
    <t>Upside/Downside</t>
  </si>
  <si>
    <t>Sector</t>
  </si>
  <si>
    <t>Private Sector Banking, India</t>
  </si>
  <si>
    <t>FCFE DCF</t>
  </si>
  <si>
    <t>Market Price (as of June 2026)</t>
  </si>
  <si>
    <t xml:space="preserve">Model Date </t>
  </si>
  <si>
    <t>29th June 2026</t>
  </si>
  <si>
    <t>Both methods suggest HDFC Bank is currently trading at a significant premium to intrinsic value.</t>
  </si>
  <si>
    <t>Key Assumptions</t>
  </si>
  <si>
    <t>Risk-Free Rate:</t>
  </si>
  <si>
    <t>6.85% (India 10Y G-Sec)</t>
  </si>
  <si>
    <t>Beta:</t>
  </si>
  <si>
    <t>1.23 (Moneycontrol)</t>
  </si>
  <si>
    <t>Equity Risk Premium:</t>
  </si>
  <si>
    <t>6% (Damodaran + India CRP)</t>
  </si>
  <si>
    <t>Cost of Equity:</t>
  </si>
  <si>
    <t>Terminal Growth Rate:</t>
  </si>
  <si>
    <t>8% (ROE × Retention Ratio)</t>
  </si>
  <si>
    <t>Forecast Period:</t>
  </si>
  <si>
    <t>FY26–FY30</t>
  </si>
  <si>
    <t xml:space="preserve">Investment Recommendation </t>
  </si>
  <si>
    <t xml:space="preserve">Recommendation </t>
  </si>
  <si>
    <t>HOLD / AVOID for value investors at current price. The stock appears richly valued relative to current fundamentals. A re-rating would require meaningful ROE recovery post the HDFC Ltd merger, convergence toward lower cost of equity, or both</t>
  </si>
  <si>
    <t>Key Risks</t>
  </si>
  <si>
    <t>NPA Risk:</t>
  </si>
  <si>
    <t>Rising loan defaults could compress margins and reduce actual ROE below projections</t>
  </si>
  <si>
    <t>Interest Rate Risk:</t>
  </si>
  <si>
    <t>RBI rate cuts would compress Net Interest Margin, reducing net interest income</t>
  </si>
  <si>
    <t>Merger Integration Risk:</t>
  </si>
  <si>
    <t>Post HDFC Ltd merger, ROE dilution may persist longer than market expects, further widening the gap between intrinsic value and market price</t>
  </si>
  <si>
    <r>
      <rPr>
        <sz val="10"/>
        <color theme="1"/>
        <rFont val="Arial"/>
      </rPr>
      <t xml:space="preserve">Terminal Value = </t>
    </r>
    <r>
      <rPr>
        <sz val="10"/>
        <color rgb="FFFF0000"/>
        <rFont val="Arial"/>
      </rPr>
      <t>FY30 FCFE × 1.055 ÷ (Cost of Equity − 5.5%)</t>
    </r>
  </si>
  <si>
    <t>5.5% = an assumption we picked, representing a reasonable long-term growth rate for India's economy (and by extension, HDFC Bank)</t>
  </si>
  <si>
    <t>1.055 = simply 5.5% rewritten in multiplication form (1 + the percentage), used to project FY30's cash flow one more year forward into FY31</t>
  </si>
  <si>
    <r>
      <rPr>
        <sz val="10"/>
        <color theme="1"/>
        <rFont val="Arial"/>
      </rPr>
      <t xml:space="preserve">Upside/Downside  - </t>
    </r>
    <r>
      <rPr>
        <b/>
        <sz val="10"/>
        <color theme="1"/>
        <rFont val="Arial"/>
      </rPr>
      <t>UPSIDE</t>
    </r>
  </si>
  <si>
    <t>Terminal Growth Rate across columns</t>
  </si>
  <si>
    <t>P/E</t>
  </si>
  <si>
    <t>P/BV</t>
  </si>
  <si>
    <t>ROE%</t>
  </si>
  <si>
    <t>NIM%</t>
  </si>
  <si>
    <t>HDFC Bank</t>
  </si>
  <si>
    <t>nim from perfomace review reports and rest from screener</t>
  </si>
  <si>
    <t>ICICI Bank</t>
  </si>
  <si>
    <t>Kotak Mahindra Bank</t>
  </si>
  <si>
    <t>Axis Bank</t>
  </si>
  <si>
    <t>Peer Average (excl. HDFC)</t>
  </si>
  <si>
    <t>HDFC Bank trades at a P/E of 16.2 and a P/BV of 2.1, which are both lower than the peer averages of 18.37 and 2.33,  meaning the market is currently valuing HDFC cheaper than ICICI, Kotak, and Axis</t>
  </si>
  <si>
    <t>This supports my DCF finding. Both approaches point the same way -
 my DCF says HDFC's true value is lower than its current market price, and the Comps table shows the market itself is already valuing HDFC lower than similar banks. Together, this suggests the discount is likely linked to post-merger integration challenges affecting margins</t>
  </si>
  <si>
    <t>This discount likely comes from HDFC's NIM (3.38%) trailing the peer average (4.20%), even though HDFC's ROE (13.80%) is actually slightly better than the peer average (13.47%) - so the gap seems driven by margin pressure, not overall profitability.</t>
  </si>
  <si>
    <t>Note: For FY26-28 (projected years), BS Cash &amp; Balances with RBI is calculated as a balancing plug to 
ensure Total Assets = Total Liabilities, while CFS Closing Cash is independently projected using simplified 
growth assumptions on Operating/Investing/Financing activities. As a result, these two figures will not tie 
out exactly in projected years - unlike FY23-25, where both reflect actual reported figures and match precisely</t>
  </si>
  <si>
    <t>vs Market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</si>
</sst>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Arial"/>
      <scheme val="minor"/>
    </font>
    <font>
      <sz val="10"/>
      <color rgb="FF3D3D3A"/>
      <name val="Arial"/>
    </font>
    <font>
      <sz val="10"/>
      <color rgb="FF1155CC"/>
      <name val="Arial"/>
      <scheme val="minor"/>
    </font>
    <font>
      <sz val="10"/>
      <color theme="1"/>
      <name val="Arial"/>
      <scheme val="minor"/>
    </font>
    <font>
      <b/>
      <sz val="10"/>
      <color rgb="FF1155CC"/>
      <name val="Arial"/>
      <scheme val="minor"/>
    </font>
    <font>
      <sz val="10"/>
      <color rgb="FFFFFFFF"/>
      <name val="Arial"/>
      <scheme val="minor"/>
    </font>
    <font>
      <sz val="10"/>
      <color rgb="FF000000"/>
      <name val="Arial"/>
      <scheme val="minor"/>
    </font>
    <font>
      <sz val="10"/>
      <color theme="1"/>
      <name val="Arial"/>
    </font>
    <font>
      <sz val="10"/>
      <name val="Arial"/>
    </font>
    <font>
      <sz val="11"/>
      <color rgb="FF000000"/>
      <name val="Arial"/>
      <scheme val="minor"/>
    </font>
    <font>
      <sz val="11"/>
      <color rgb="FF22222F"/>
      <name val="&quot;Inter var&quot;"/>
    </font>
    <font>
      <sz val="10"/>
      <color rgb="FFFF0000"/>
      <name val="Arial"/>
    </font>
    <font>
      <b/>
      <sz val="10"/>
      <color theme="1"/>
      <name val="Arial"/>
    </font>
    <font>
      <b/>
      <sz val="10"/>
      <color theme="1"/>
      <name val="Arial"/>
      <family val="2"/>
      <scheme val="minor"/>
    </font>
  </fonts>
  <fills count="17">
    <fill>
      <patternFill patternType="none"/>
    </fill>
    <fill>
      <patternFill patternType="gray125"/>
    </fill>
    <fill>
      <patternFill patternType="solid">
        <fgColor rgb="FFFFFFFF"/>
        <bgColor rgb="FFFFFFFF"/>
      </patternFill>
    </fill>
    <fill>
      <patternFill patternType="solid">
        <fgColor rgb="FFFFD966"/>
        <bgColor rgb="FFFFD966"/>
      </patternFill>
    </fill>
    <fill>
      <patternFill patternType="solid">
        <fgColor rgb="FF00FFFF"/>
        <bgColor rgb="FF00FFFF"/>
      </patternFill>
    </fill>
    <fill>
      <patternFill patternType="solid">
        <fgColor rgb="FFF6B26B"/>
        <bgColor rgb="FFF6B26B"/>
      </patternFill>
    </fill>
    <fill>
      <patternFill patternType="solid">
        <fgColor rgb="FFF9CB9C"/>
        <bgColor rgb="FFF9CB9C"/>
      </patternFill>
    </fill>
    <fill>
      <patternFill patternType="solid">
        <fgColor rgb="FFFF0000"/>
        <bgColor rgb="FFFF0000"/>
      </patternFill>
    </fill>
    <fill>
      <patternFill patternType="solid">
        <fgColor rgb="FF9FC5E8"/>
        <bgColor rgb="FF9FC5E8"/>
      </patternFill>
    </fill>
    <fill>
      <patternFill patternType="solid">
        <fgColor rgb="FFEAD1DC"/>
        <bgColor rgb="FFEAD1DC"/>
      </patternFill>
    </fill>
    <fill>
      <patternFill patternType="solid">
        <fgColor rgb="FF00FF00"/>
        <bgColor rgb="FF00FF00"/>
      </patternFill>
    </fill>
    <fill>
      <patternFill patternType="solid">
        <fgColor rgb="FFFFFF00"/>
        <bgColor rgb="FFFFFF00"/>
      </patternFill>
    </fill>
    <fill>
      <patternFill patternType="solid">
        <fgColor rgb="FFFFF2CC"/>
        <bgColor rgb="FFFFF2CC"/>
      </patternFill>
    </fill>
    <fill>
      <patternFill patternType="solid">
        <fgColor rgb="FFFF9900"/>
        <bgColor rgb="FFFF9900"/>
      </patternFill>
    </fill>
    <fill>
      <patternFill patternType="solid">
        <fgColor rgb="FFFF00FF"/>
        <bgColor rgb="FFFF00FF"/>
      </patternFill>
    </fill>
    <fill>
      <patternFill patternType="solid">
        <fgColor rgb="FFF8F8FC"/>
        <bgColor rgb="FFF8F8FC"/>
      </patternFill>
    </fill>
    <fill>
      <patternFill patternType="solid">
        <fgColor rgb="FFFFFF00"/>
        <bgColor indexed="64"/>
      </patternFill>
    </fill>
  </fills>
  <borders count="2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ck">
        <color rgb="FF000000"/>
      </right>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rgb="FFFFFFFF"/>
      </left>
      <right style="medium">
        <color rgb="FFFFFFFF"/>
      </right>
      <top style="medium">
        <color rgb="FFFFFFFF"/>
      </top>
      <bottom style="medium">
        <color rgb="FFFFFFFF"/>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FFFFFF"/>
      </left>
      <right/>
      <top/>
      <bottom/>
      <diagonal/>
    </border>
    <border>
      <left/>
      <right/>
      <top/>
      <bottom style="medium">
        <color rgb="FF000000"/>
      </bottom>
      <diagonal/>
    </border>
    <border>
      <left style="medium">
        <color rgb="FF000000"/>
      </left>
      <right/>
      <top style="medium">
        <color rgb="FF000000"/>
      </top>
      <bottom style="medium">
        <color rgb="FFFFFFFF"/>
      </bottom>
      <diagonal/>
    </border>
    <border>
      <left/>
      <right style="medium">
        <color rgb="FF000000"/>
      </right>
      <top style="medium">
        <color rgb="FF000000"/>
      </top>
      <bottom style="medium">
        <color rgb="FFFFFFFF"/>
      </bottom>
      <diagonal/>
    </border>
  </borders>
  <cellStyleXfs count="1">
    <xf numFmtId="0" fontId="0" fillId="0" borderId="0"/>
  </cellStyleXfs>
  <cellXfs count="117">
    <xf numFmtId="0" fontId="0" fillId="0" borderId="0" xfId="0"/>
    <xf numFmtId="0" fontId="1" fillId="0" borderId="1" xfId="0" applyFont="1" applyBorder="1"/>
    <xf numFmtId="4" fontId="1" fillId="0" borderId="0" xfId="0" applyNumberFormat="1" applyFont="1"/>
    <xf numFmtId="0" fontId="1" fillId="0" borderId="0" xfId="0" applyFont="1"/>
    <xf numFmtId="0" fontId="2" fillId="2" borderId="0" xfId="0" applyFont="1" applyFill="1"/>
    <xf numFmtId="3" fontId="3" fillId="0" borderId="1" xfId="0" applyNumberFormat="1" applyFont="1" applyBorder="1"/>
    <xf numFmtId="3" fontId="4" fillId="0" borderId="0" xfId="0" applyNumberFormat="1" applyFont="1"/>
    <xf numFmtId="0" fontId="4" fillId="0" borderId="0" xfId="0" applyFont="1"/>
    <xf numFmtId="0" fontId="1" fillId="3" borderId="2" xfId="0" applyFont="1" applyFill="1" applyBorder="1"/>
    <xf numFmtId="3" fontId="5" fillId="0" borderId="1" xfId="0" applyNumberFormat="1" applyFont="1" applyBorder="1"/>
    <xf numFmtId="3" fontId="1" fillId="0" borderId="0" xfId="0" applyNumberFormat="1" applyFont="1"/>
    <xf numFmtId="3" fontId="4" fillId="4" borderId="0" xfId="0" applyNumberFormat="1" applyFont="1" applyFill="1"/>
    <xf numFmtId="0" fontId="4" fillId="4" borderId="0" xfId="0" applyFont="1" applyFill="1"/>
    <xf numFmtId="0" fontId="1" fillId="5" borderId="2" xfId="0" applyFont="1" applyFill="1" applyBorder="1"/>
    <xf numFmtId="0" fontId="1" fillId="6" borderId="2" xfId="0" applyFont="1" applyFill="1" applyBorder="1"/>
    <xf numFmtId="4" fontId="4" fillId="0" borderId="0" xfId="0" applyNumberFormat="1" applyFont="1"/>
    <xf numFmtId="0" fontId="6" fillId="7" borderId="0" xfId="0" applyFont="1" applyFill="1"/>
    <xf numFmtId="10" fontId="6" fillId="7" borderId="0" xfId="0" applyNumberFormat="1" applyFont="1" applyFill="1"/>
    <xf numFmtId="0" fontId="4" fillId="0" borderId="3" xfId="0" applyFont="1" applyBorder="1"/>
    <xf numFmtId="0" fontId="1" fillId="3" borderId="0" xfId="0" applyFont="1" applyFill="1"/>
    <xf numFmtId="0" fontId="1" fillId="3" borderId="3" xfId="0" applyFont="1" applyFill="1" applyBorder="1"/>
    <xf numFmtId="0" fontId="4" fillId="0" borderId="4" xfId="0" applyFont="1" applyBorder="1"/>
    <xf numFmtId="0" fontId="4" fillId="0" borderId="1" xfId="0" applyFont="1" applyBorder="1"/>
    <xf numFmtId="0" fontId="3" fillId="0" borderId="3" xfId="0" applyFont="1" applyBorder="1"/>
    <xf numFmtId="3" fontId="3" fillId="0" borderId="4" xfId="0" applyNumberFormat="1" applyFont="1" applyBorder="1"/>
    <xf numFmtId="3" fontId="7" fillId="0" borderId="1" xfId="0" applyNumberFormat="1" applyFont="1" applyBorder="1"/>
    <xf numFmtId="0" fontId="1" fillId="8" borderId="3" xfId="0" applyFont="1" applyFill="1" applyBorder="1"/>
    <xf numFmtId="3" fontId="5" fillId="9" borderId="4" xfId="0" applyNumberFormat="1" applyFont="1" applyFill="1" applyBorder="1"/>
    <xf numFmtId="3" fontId="5" fillId="9" borderId="1" xfId="0" applyNumberFormat="1" applyFont="1" applyFill="1" applyBorder="1"/>
    <xf numFmtId="3" fontId="1" fillId="9" borderId="0" xfId="0" applyNumberFormat="1" applyFont="1" applyFill="1"/>
    <xf numFmtId="0" fontId="3" fillId="0" borderId="4" xfId="0" applyFont="1" applyBorder="1"/>
    <xf numFmtId="0" fontId="4" fillId="10" borderId="3" xfId="0" applyFont="1" applyFill="1" applyBorder="1"/>
    <xf numFmtId="3" fontId="4" fillId="0" borderId="4" xfId="0" applyNumberFormat="1" applyFont="1" applyBorder="1"/>
    <xf numFmtId="3" fontId="3" fillId="0" borderId="5" xfId="0" applyNumberFormat="1" applyFont="1" applyBorder="1"/>
    <xf numFmtId="3" fontId="3" fillId="0" borderId="6" xfId="0" applyNumberFormat="1" applyFont="1" applyBorder="1"/>
    <xf numFmtId="3" fontId="5" fillId="9" borderId="2" xfId="0" applyNumberFormat="1" applyFont="1" applyFill="1" applyBorder="1"/>
    <xf numFmtId="0" fontId="1" fillId="11" borderId="3" xfId="0" applyFont="1" applyFill="1" applyBorder="1"/>
    <xf numFmtId="3" fontId="1" fillId="11" borderId="0" xfId="0" applyNumberFormat="1" applyFont="1" applyFill="1"/>
    <xf numFmtId="3" fontId="1" fillId="11" borderId="0" xfId="0" applyNumberFormat="1" applyFont="1" applyFill="1" applyAlignment="1">
      <alignment horizontal="right"/>
    </xf>
    <xf numFmtId="0" fontId="4" fillId="4" borderId="3" xfId="0" applyFont="1" applyFill="1" applyBorder="1"/>
    <xf numFmtId="0" fontId="4" fillId="0" borderId="0" xfId="0" applyFont="1" applyAlignment="1">
      <alignment wrapText="1"/>
    </xf>
    <xf numFmtId="0" fontId="1" fillId="0" borderId="3" xfId="0" applyFont="1" applyBorder="1"/>
    <xf numFmtId="0" fontId="4" fillId="10" borderId="0" xfId="0" applyFont="1" applyFill="1"/>
    <xf numFmtId="0" fontId="4" fillId="3" borderId="0" xfId="0" applyFont="1" applyFill="1"/>
    <xf numFmtId="3" fontId="3" fillId="0" borderId="0" xfId="0" applyNumberFormat="1" applyFont="1"/>
    <xf numFmtId="0" fontId="4" fillId="12" borderId="0" xfId="0" applyFont="1" applyFill="1"/>
    <xf numFmtId="0" fontId="1" fillId="8" borderId="0" xfId="0" applyFont="1" applyFill="1"/>
    <xf numFmtId="3" fontId="1" fillId="8" borderId="0" xfId="0" applyNumberFormat="1" applyFont="1" applyFill="1"/>
    <xf numFmtId="0" fontId="3" fillId="4" borderId="0" xfId="0" applyFont="1" applyFill="1"/>
    <xf numFmtId="3" fontId="3" fillId="4" borderId="0" xfId="0" applyNumberFormat="1" applyFont="1" applyFill="1"/>
    <xf numFmtId="3" fontId="7" fillId="0" borderId="0" xfId="0" applyNumberFormat="1" applyFont="1"/>
    <xf numFmtId="0" fontId="1" fillId="11" borderId="0" xfId="0" applyFont="1" applyFill="1"/>
    <xf numFmtId="3" fontId="5" fillId="11" borderId="0" xfId="0" applyNumberFormat="1" applyFont="1" applyFill="1"/>
    <xf numFmtId="3" fontId="5" fillId="0" borderId="0" xfId="0" applyNumberFormat="1" applyFont="1"/>
    <xf numFmtId="10" fontId="4" fillId="0" borderId="0" xfId="0" applyNumberFormat="1" applyFont="1"/>
    <xf numFmtId="10" fontId="4" fillId="0" borderId="1" xfId="0" applyNumberFormat="1" applyFont="1" applyBorder="1"/>
    <xf numFmtId="0" fontId="1" fillId="4" borderId="0" xfId="0" applyFont="1" applyFill="1"/>
    <xf numFmtId="9" fontId="4" fillId="0" borderId="0" xfId="0" applyNumberFormat="1" applyFont="1"/>
    <xf numFmtId="0" fontId="1" fillId="2" borderId="0" xfId="0" applyFont="1" applyFill="1"/>
    <xf numFmtId="0" fontId="1" fillId="4" borderId="8" xfId="0" applyFont="1" applyFill="1" applyBorder="1"/>
    <xf numFmtId="10" fontId="3" fillId="4" borderId="9" xfId="0" applyNumberFormat="1" applyFont="1" applyFill="1" applyBorder="1"/>
    <xf numFmtId="0" fontId="1" fillId="4" borderId="10" xfId="0" applyFont="1" applyFill="1" applyBorder="1"/>
    <xf numFmtId="0" fontId="3" fillId="4" borderId="11" xfId="0" applyFont="1" applyFill="1" applyBorder="1"/>
    <xf numFmtId="10" fontId="3" fillId="4" borderId="11" xfId="0" applyNumberFormat="1" applyFont="1" applyFill="1" applyBorder="1"/>
    <xf numFmtId="0" fontId="4" fillId="0" borderId="10" xfId="0" applyFont="1" applyBorder="1"/>
    <xf numFmtId="0" fontId="3" fillId="0" borderId="11" xfId="0" applyFont="1" applyBorder="1"/>
    <xf numFmtId="0" fontId="1" fillId="4" borderId="12" xfId="0" applyFont="1" applyFill="1" applyBorder="1"/>
    <xf numFmtId="10" fontId="4" fillId="4" borderId="6" xfId="0" applyNumberFormat="1" applyFont="1" applyFill="1" applyBorder="1"/>
    <xf numFmtId="10" fontId="7" fillId="0" borderId="0" xfId="0" applyNumberFormat="1" applyFont="1"/>
    <xf numFmtId="0" fontId="7" fillId="11" borderId="0" xfId="0" applyFont="1" applyFill="1"/>
    <xf numFmtId="0" fontId="4" fillId="0" borderId="0" xfId="0" applyFont="1" applyAlignment="1">
      <alignment horizontal="left" vertical="center" wrapText="1"/>
    </xf>
    <xf numFmtId="1" fontId="4" fillId="0" borderId="0" xfId="0" applyNumberFormat="1" applyFont="1"/>
    <xf numFmtId="0" fontId="4" fillId="13" borderId="0" xfId="0" applyFont="1" applyFill="1"/>
    <xf numFmtId="1" fontId="6" fillId="0" borderId="0" xfId="0" applyNumberFormat="1" applyFont="1"/>
    <xf numFmtId="9" fontId="4" fillId="14" borderId="0" xfId="0" applyNumberFormat="1" applyFont="1" applyFill="1"/>
    <xf numFmtId="9" fontId="4" fillId="0" borderId="0" xfId="0" applyNumberFormat="1" applyFont="1" applyAlignment="1">
      <alignment horizontal="right"/>
    </xf>
    <xf numFmtId="1" fontId="4" fillId="0" borderId="0" xfId="0" applyNumberFormat="1" applyFont="1" applyAlignment="1">
      <alignment horizontal="left"/>
    </xf>
    <xf numFmtId="10" fontId="4" fillId="14" borderId="0" xfId="0" applyNumberFormat="1" applyFont="1" applyFill="1"/>
    <xf numFmtId="1" fontId="4" fillId="0" borderId="13" xfId="0" applyNumberFormat="1" applyFont="1" applyBorder="1"/>
    <xf numFmtId="0" fontId="4" fillId="0" borderId="15" xfId="0" applyFont="1" applyBorder="1"/>
    <xf numFmtId="0" fontId="4" fillId="0" borderId="16" xfId="0" applyFont="1" applyBorder="1"/>
    <xf numFmtId="0" fontId="4" fillId="0" borderId="17" xfId="0" applyFont="1" applyBorder="1"/>
    <xf numFmtId="0" fontId="4" fillId="0" borderId="18" xfId="0" applyFont="1" applyBorder="1"/>
    <xf numFmtId="0" fontId="4" fillId="0" borderId="18" xfId="0" applyFont="1" applyBorder="1" applyAlignment="1">
      <alignment horizontal="left"/>
    </xf>
    <xf numFmtId="0" fontId="4" fillId="0" borderId="19" xfId="0" applyFont="1" applyBorder="1"/>
    <xf numFmtId="0" fontId="4" fillId="0" borderId="20" xfId="0" applyFont="1" applyBorder="1"/>
    <xf numFmtId="0" fontId="4" fillId="0" borderId="21" xfId="0" applyFont="1" applyBorder="1"/>
    <xf numFmtId="0" fontId="4" fillId="0" borderId="23" xfId="0" applyFont="1" applyBorder="1"/>
    <xf numFmtId="0" fontId="4" fillId="0" borderId="24" xfId="0" applyFont="1" applyBorder="1"/>
    <xf numFmtId="10" fontId="4" fillId="0" borderId="18" xfId="0" applyNumberFormat="1" applyFont="1" applyBorder="1" applyAlignment="1">
      <alignment horizontal="left"/>
    </xf>
    <xf numFmtId="0" fontId="4" fillId="0" borderId="0" xfId="0" applyFont="1" applyAlignment="1">
      <alignment horizontal="center" vertical="center" wrapText="1"/>
    </xf>
    <xf numFmtId="10" fontId="3" fillId="0" borderId="0" xfId="0" applyNumberFormat="1" applyFont="1"/>
    <xf numFmtId="0" fontId="4" fillId="11" borderId="0" xfId="0" applyFont="1" applyFill="1"/>
    <xf numFmtId="0" fontId="4" fillId="13" borderId="0" xfId="0" applyFont="1" applyFill="1" applyAlignment="1">
      <alignment horizontal="center" vertical="center" wrapText="1"/>
    </xf>
    <xf numFmtId="0" fontId="10" fillId="15" borderId="0" xfId="0" applyFont="1" applyFill="1"/>
    <xf numFmtId="0" fontId="10" fillId="0" borderId="0" xfId="0" applyFont="1"/>
    <xf numFmtId="10" fontId="10" fillId="2" borderId="0" xfId="0" applyNumberFormat="1" applyFont="1" applyFill="1"/>
    <xf numFmtId="10" fontId="10" fillId="0" borderId="0" xfId="0" applyNumberFormat="1" applyFont="1"/>
    <xf numFmtId="4" fontId="11" fillId="0" borderId="16" xfId="0" applyNumberFormat="1" applyFont="1" applyBorder="1"/>
    <xf numFmtId="10" fontId="11" fillId="0" borderId="16" xfId="0" applyNumberFormat="1" applyFont="1" applyBorder="1"/>
    <xf numFmtId="0" fontId="1" fillId="0" borderId="0" xfId="0" applyFont="1" applyAlignment="1">
      <alignment vertical="center" wrapText="1"/>
    </xf>
    <xf numFmtId="0" fontId="8" fillId="0" borderId="0" xfId="0" applyFont="1"/>
    <xf numFmtId="0" fontId="0" fillId="0" borderId="0" xfId="0"/>
    <xf numFmtId="0" fontId="1" fillId="0" borderId="7" xfId="0" applyFont="1" applyBorder="1"/>
    <xf numFmtId="0" fontId="9" fillId="0" borderId="4" xfId="0" applyFont="1" applyBorder="1"/>
    <xf numFmtId="0" fontId="1" fillId="0" borderId="19" xfId="0" applyFont="1" applyBorder="1"/>
    <xf numFmtId="0" fontId="9" fillId="0" borderId="22" xfId="0" applyFont="1" applyBorder="1"/>
    <xf numFmtId="0" fontId="9" fillId="0" borderId="20" xfId="0" applyFont="1" applyBorder="1"/>
    <xf numFmtId="0" fontId="0" fillId="0" borderId="0" xfId="0" applyAlignment="1">
      <alignment wrapText="1"/>
    </xf>
    <xf numFmtId="0" fontId="1" fillId="0" borderId="0" xfId="0" applyFont="1" applyAlignment="1">
      <alignment horizontal="center" vertical="center" wrapText="1"/>
    </xf>
    <xf numFmtId="0" fontId="14" fillId="0" borderId="17" xfId="0" applyFont="1" applyBorder="1"/>
    <xf numFmtId="0" fontId="14" fillId="0" borderId="0" xfId="0" applyFont="1"/>
    <xf numFmtId="0" fontId="1" fillId="16" borderId="14" xfId="0" applyFont="1" applyFill="1" applyBorder="1"/>
    <xf numFmtId="0" fontId="1" fillId="16" borderId="17" xfId="0" applyFont="1" applyFill="1" applyBorder="1"/>
    <xf numFmtId="0" fontId="1" fillId="16" borderId="0" xfId="0" applyFont="1" applyFill="1" applyAlignment="1">
      <alignment wrapText="1"/>
    </xf>
    <xf numFmtId="0" fontId="0" fillId="0" borderId="0" xfId="0" applyAlignment="1"/>
    <xf numFmtId="0" fontId="14" fillId="10" borderId="0" xfId="0" applyFont="1" applyFill="1" applyAlignment="1">
      <alignment vertical="center" wrapText="1"/>
    </xf>
  </cellXfs>
  <cellStyles count="1">
    <cellStyle name="Normal" xfId="0" builtinId="0"/>
  </cellStyles>
  <dxfs count="2">
    <dxf>
      <fill>
        <patternFill patternType="solid">
          <fgColor rgb="FFFF0000"/>
          <bgColor rgb="FFFF0000"/>
        </patternFill>
      </fill>
    </dxf>
    <dxf>
      <font>
        <color rgb="FF274E13"/>
      </font>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5"/>
  <sheetViews>
    <sheetView workbookViewId="0">
      <pane ySplit="1" topLeftCell="A2" activePane="bottomLeft" state="frozen"/>
      <selection pane="bottomLeft" activeCell="B3" sqref="B3"/>
    </sheetView>
  </sheetViews>
  <sheetFormatPr defaultColWidth="12.6640625" defaultRowHeight="15.75" customHeight="1"/>
  <cols>
    <col min="1" max="1" width="26.88671875" customWidth="1"/>
  </cols>
  <sheetData>
    <row r="1" spans="1:11">
      <c r="B1" s="1" t="s">
        <v>0</v>
      </c>
      <c r="C1" s="1" t="s">
        <v>1</v>
      </c>
      <c r="D1" s="1" t="s">
        <v>2</v>
      </c>
      <c r="E1" s="2" t="s">
        <v>3</v>
      </c>
      <c r="F1" s="3" t="s">
        <v>4</v>
      </c>
      <c r="G1" s="3" t="s">
        <v>5</v>
      </c>
      <c r="H1" s="3" t="s">
        <v>6</v>
      </c>
      <c r="I1" s="3" t="s">
        <v>7</v>
      </c>
    </row>
    <row r="2" spans="1:11">
      <c r="A2" s="4" t="s">
        <v>8</v>
      </c>
      <c r="B2" s="5">
        <v>1615855367</v>
      </c>
      <c r="C2" s="5">
        <v>2583405755</v>
      </c>
      <c r="D2" s="5">
        <v>3005170417</v>
      </c>
      <c r="E2" s="6">
        <f>D2*(1+Assumptions!$B$2)</f>
        <v>3381989663.0185404</v>
      </c>
      <c r="F2" s="6">
        <f>E2*(1+Assumptions!$B$2)</f>
        <v>3806058390.5861936</v>
      </c>
      <c r="G2" s="6">
        <f>F2*(1+Assumptions!$B$2)</f>
        <v>4283301226.7761478</v>
      </c>
      <c r="H2" s="6">
        <f>G2*(1+Assumptions!$B$2)</f>
        <v>4820385689.4787092</v>
      </c>
      <c r="I2" s="6">
        <f>H2*(1+Assumptions!$B$2)</f>
        <v>5424815338.7101221</v>
      </c>
      <c r="K2" s="7" t="s">
        <v>9</v>
      </c>
    </row>
    <row r="3" spans="1:11">
      <c r="A3" s="7" t="s">
        <v>10</v>
      </c>
      <c r="B3" s="5">
        <v>312148251</v>
      </c>
      <c r="C3" s="5">
        <v>492409994</v>
      </c>
      <c r="D3" s="5">
        <v>456322818</v>
      </c>
      <c r="E3" s="6">
        <f>D3*(1+Assumptions!$B$2)</f>
        <v>513541276.97560477</v>
      </c>
      <c r="F3" s="6">
        <f>E3*(1+Assumptions!$B$2)</f>
        <v>577934376.18044949</v>
      </c>
      <c r="G3" s="6">
        <f>F3*(1+Assumptions!$B$2)</f>
        <v>650401745.96705699</v>
      </c>
      <c r="H3" s="6">
        <f>G3*(1+Assumptions!$B$2)</f>
        <v>731955821.61548924</v>
      </c>
      <c r="I3" s="6">
        <f>H3*(1+Assumptions!$B$2)</f>
        <v>823735987.9780246</v>
      </c>
      <c r="K3" s="7" t="s">
        <v>11</v>
      </c>
    </row>
    <row r="4" spans="1:11">
      <c r="A4" s="8" t="s">
        <v>12</v>
      </c>
      <c r="B4" s="9">
        <v>1928003618</v>
      </c>
      <c r="C4" s="9">
        <v>3075815749</v>
      </c>
      <c r="D4" s="9">
        <v>3461493235</v>
      </c>
      <c r="E4" s="10">
        <f t="shared" ref="E4:I4" si="0">SUM(E2:E3)</f>
        <v>3895530939.9941454</v>
      </c>
      <c r="F4" s="10">
        <f t="shared" si="0"/>
        <v>4383992766.7666435</v>
      </c>
      <c r="G4" s="10">
        <f t="shared" si="0"/>
        <v>4933702972.7432051</v>
      </c>
      <c r="H4" s="10">
        <f t="shared" si="0"/>
        <v>5552341511.0941982</v>
      </c>
      <c r="I4" s="10">
        <f t="shared" si="0"/>
        <v>6248551326.6881466</v>
      </c>
      <c r="K4" s="7" t="s">
        <v>13</v>
      </c>
    </row>
    <row r="5" spans="1:11">
      <c r="A5" s="7" t="s">
        <v>14</v>
      </c>
      <c r="B5" s="5">
        <v>476520844</v>
      </c>
      <c r="C5" s="5">
        <v>633860240</v>
      </c>
      <c r="D5" s="5">
        <v>681748820</v>
      </c>
      <c r="E5" s="11">
        <f>E4*(Assumptions!$B$4)</f>
        <v>767233514.93549848</v>
      </c>
      <c r="F5" s="11">
        <f>F4*(Assumptions!$B$4)</f>
        <v>863437162.15054059</v>
      </c>
      <c r="G5" s="11">
        <f>G4*(Assumptions!$B$4)</f>
        <v>971703814.37945294</v>
      </c>
      <c r="H5" s="11">
        <f>H4*(Assumptions!$B$4)</f>
        <v>1093546055.54371</v>
      </c>
      <c r="I5" s="11">
        <f>I4*(Assumptions!$B$4)</f>
        <v>1230666132.9295011</v>
      </c>
    </row>
    <row r="6" spans="1:11">
      <c r="A6" s="7" t="s">
        <v>15</v>
      </c>
      <c r="B6" s="5">
        <v>747433173</v>
      </c>
      <c r="C6" s="5">
        <v>1498081008</v>
      </c>
      <c r="D6" s="5">
        <v>1778469527</v>
      </c>
      <c r="E6" s="6">
        <f>D6*(1+Assumptions!$B$2)</f>
        <v>2001472369.8471282</v>
      </c>
      <c r="F6" s="6">
        <f>E6*(1+Assumptions!$B$2)</f>
        <v>2252437607.9801559</v>
      </c>
      <c r="G6" s="6">
        <f>F6*(1+Assumptions!$B$2)</f>
        <v>2534871454.7735062</v>
      </c>
      <c r="H6" s="6">
        <f>G6*(1+Assumptions!$B$2)</f>
        <v>2852719768.7786794</v>
      </c>
      <c r="I6" s="6">
        <f>H6*(1+Assumptions!$B$2)</f>
        <v>3210423180.9686866</v>
      </c>
      <c r="K6" s="7" t="s">
        <v>16</v>
      </c>
    </row>
    <row r="7" spans="1:11">
      <c r="A7" s="7" t="s">
        <v>17</v>
      </c>
      <c r="B7" s="5">
        <v>262962587</v>
      </c>
      <c r="C7" s="5">
        <v>335751716</v>
      </c>
      <c r="D7" s="5">
        <v>327801307</v>
      </c>
      <c r="E7" s="6">
        <f>D7*(1+Assumptions!$B$2)</f>
        <v>368904414.04806596</v>
      </c>
      <c r="F7" s="6">
        <f>E7*(1+Assumptions!$B$2)</f>
        <v>415161452.37379086</v>
      </c>
      <c r="G7" s="6">
        <f>F7*(1+Assumptions!$B$2)</f>
        <v>467218675.01064408</v>
      </c>
      <c r="H7" s="6">
        <f>G7*(1+Assumptions!$B$2)</f>
        <v>525803368.85940301</v>
      </c>
      <c r="I7" s="6">
        <f>H7*(1+Assumptions!$B$2)</f>
        <v>591734015.54978287</v>
      </c>
    </row>
    <row r="8" spans="1:11">
      <c r="A8" s="8" t="s">
        <v>18</v>
      </c>
      <c r="B8" s="9">
        <v>1486916604</v>
      </c>
      <c r="C8" s="9">
        <v>2467692964</v>
      </c>
      <c r="D8" s="9">
        <v>2788019654</v>
      </c>
      <c r="E8" s="10">
        <f t="shared" ref="E8:I8" si="1">SUM(E5:E7)</f>
        <v>3137610298.8306928</v>
      </c>
      <c r="F8" s="10">
        <f t="shared" si="1"/>
        <v>3531036222.504487</v>
      </c>
      <c r="G8" s="10">
        <f t="shared" si="1"/>
        <v>3973793944.1636028</v>
      </c>
      <c r="H8" s="10">
        <f t="shared" si="1"/>
        <v>4472069193.1817923</v>
      </c>
      <c r="I8" s="10">
        <f t="shared" si="1"/>
        <v>5032823329.4479704</v>
      </c>
      <c r="K8" s="12" t="s">
        <v>19</v>
      </c>
    </row>
    <row r="9" spans="1:11">
      <c r="A9" s="13" t="s">
        <v>20</v>
      </c>
      <c r="B9" s="9">
        <f>SUM(B10:B11)</f>
        <v>584853014</v>
      </c>
      <c r="C9" s="9">
        <f t="shared" ref="C9:D9" si="2">SUM(C10:C11)</f>
        <v>708952985</v>
      </c>
      <c r="D9" s="9">
        <f t="shared" si="2"/>
        <v>884780581</v>
      </c>
      <c r="E9" s="10">
        <f t="shared" ref="E9:I9" si="3">E4-E8</f>
        <v>757920641.16345263</v>
      </c>
      <c r="F9" s="10">
        <f t="shared" si="3"/>
        <v>852956544.26215649</v>
      </c>
      <c r="G9" s="10">
        <f t="shared" si="3"/>
        <v>959909028.57960224</v>
      </c>
      <c r="H9" s="10">
        <f t="shared" si="3"/>
        <v>1080272317.912406</v>
      </c>
      <c r="I9" s="10">
        <f t="shared" si="3"/>
        <v>1215727997.2401762</v>
      </c>
    </row>
    <row r="10" spans="1:11">
      <c r="A10" s="7" t="s">
        <v>21</v>
      </c>
      <c r="B10" s="5">
        <v>143766000</v>
      </c>
      <c r="C10" s="5">
        <v>100830200</v>
      </c>
      <c r="D10" s="5">
        <v>211307000</v>
      </c>
      <c r="E10" s="6">
        <f>E9*Assumptions!$B$5</f>
        <v>181009778.42587358</v>
      </c>
      <c r="F10" s="6">
        <f>F9*Assumptions!$B$5</f>
        <v>203706650.40443909</v>
      </c>
      <c r="G10" s="6">
        <f>G9*Assumptions!$B$5</f>
        <v>229249490.16491809</v>
      </c>
      <c r="H10" s="6">
        <f>H9*Assumptions!$B$5</f>
        <v>257995154.48578405</v>
      </c>
      <c r="I10" s="6">
        <f>I9*Assumptions!$B$5</f>
        <v>290345246.52709341</v>
      </c>
    </row>
    <row r="11" spans="1:11">
      <c r="A11" s="14" t="s">
        <v>22</v>
      </c>
      <c r="B11" s="9">
        <v>441087014</v>
      </c>
      <c r="C11" s="9">
        <v>608122785</v>
      </c>
      <c r="D11" s="9">
        <v>673473581</v>
      </c>
      <c r="E11" s="10">
        <f t="shared" ref="E11:I11" si="4">E9-E10</f>
        <v>576910862.73757911</v>
      </c>
      <c r="F11" s="10">
        <f t="shared" si="4"/>
        <v>649249893.85771739</v>
      </c>
      <c r="G11" s="10">
        <f t="shared" si="4"/>
        <v>730659538.41468418</v>
      </c>
      <c r="H11" s="10">
        <f t="shared" si="4"/>
        <v>822277163.42662191</v>
      </c>
      <c r="I11" s="10">
        <f t="shared" si="4"/>
        <v>925382750.71308279</v>
      </c>
    </row>
    <row r="12" spans="1:11">
      <c r="E12" s="15"/>
      <c r="K12" s="7" t="s">
        <v>23</v>
      </c>
    </row>
    <row r="13" spans="1:11">
      <c r="A13" s="7" t="s">
        <v>24</v>
      </c>
      <c r="B13" s="6">
        <f t="shared" ref="B13:I13" si="5">B2-B6</f>
        <v>868422194</v>
      </c>
      <c r="C13" s="6">
        <f t="shared" si="5"/>
        <v>1085324747</v>
      </c>
      <c r="D13" s="6">
        <f t="shared" si="5"/>
        <v>1226700890</v>
      </c>
      <c r="E13" s="6">
        <f t="shared" si="5"/>
        <v>1380517293.1714122</v>
      </c>
      <c r="F13" s="6">
        <f t="shared" si="5"/>
        <v>1553620782.6060376</v>
      </c>
      <c r="G13" s="6">
        <f t="shared" si="5"/>
        <v>1748429772.0026417</v>
      </c>
      <c r="H13" s="6">
        <f t="shared" si="5"/>
        <v>1967665920.7000299</v>
      </c>
      <c r="I13" s="6">
        <f t="shared" si="5"/>
        <v>2214392157.7414355</v>
      </c>
    </row>
    <row r="15" spans="1:11">
      <c r="A15" s="16" t="s">
        <v>25</v>
      </c>
      <c r="B15" s="17">
        <f>D11/BS!D13</f>
        <v>0.13554752077362286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44"/>
  <sheetViews>
    <sheetView zoomScale="84" workbookViewId="0">
      <pane ySplit="1" topLeftCell="A2" activePane="bottomLeft" state="frozen"/>
      <selection pane="bottomLeft" activeCell="J32" sqref="J32"/>
    </sheetView>
  </sheetViews>
  <sheetFormatPr defaultColWidth="12.6640625" defaultRowHeight="13.2"/>
  <cols>
    <col min="1" max="1" width="48.77734375" bestFit="1" customWidth="1"/>
    <col min="2" max="9" width="14.21875" bestFit="1" customWidth="1"/>
    <col min="10" max="10" width="67.5546875" bestFit="1" customWidth="1"/>
    <col min="11" max="11" width="255.33203125" bestFit="1" customWidth="1"/>
  </cols>
  <sheetData>
    <row r="1" spans="1:10">
      <c r="A1" s="18"/>
      <c r="B1" s="19" t="s">
        <v>0</v>
      </c>
      <c r="C1" s="19" t="s">
        <v>1</v>
      </c>
      <c r="D1" s="19" t="s">
        <v>2</v>
      </c>
      <c r="E1" s="19" t="s">
        <v>3</v>
      </c>
      <c r="F1" s="19" t="s">
        <v>4</v>
      </c>
      <c r="G1" s="19" t="s">
        <v>5</v>
      </c>
      <c r="H1" s="19" t="s">
        <v>6</v>
      </c>
      <c r="I1" s="19" t="s">
        <v>7</v>
      </c>
    </row>
    <row r="2" spans="1:10">
      <c r="A2" s="20" t="s">
        <v>26</v>
      </c>
      <c r="B2" s="21"/>
      <c r="C2" s="22"/>
      <c r="D2" s="22"/>
      <c r="E2" s="7"/>
    </row>
    <row r="3" spans="1:10">
      <c r="A3" s="23" t="s">
        <v>27</v>
      </c>
      <c r="B3" s="24">
        <v>1171607706</v>
      </c>
      <c r="C3" s="5">
        <v>1786832228</v>
      </c>
      <c r="D3" s="5">
        <v>1443550296</v>
      </c>
      <c r="E3" s="25">
        <f t="shared" ref="E3:I3" si="0">E18-(E4+E5+E6+E7+E8)</f>
        <v>1934622508.0953293</v>
      </c>
      <c r="F3" s="25">
        <f t="shared" si="0"/>
        <v>2483600287.7232056</v>
      </c>
      <c r="G3" s="25">
        <f t="shared" si="0"/>
        <v>3097545411.0409775</v>
      </c>
      <c r="H3" s="25">
        <f t="shared" si="0"/>
        <v>3784394340.1542892</v>
      </c>
      <c r="I3" s="25">
        <f t="shared" si="0"/>
        <v>4553067315.019516</v>
      </c>
      <c r="J3" s="101" t="s">
        <v>28</v>
      </c>
    </row>
    <row r="4" spans="1:10">
      <c r="A4" s="23" t="s">
        <v>29</v>
      </c>
      <c r="B4" s="24">
        <v>766043125</v>
      </c>
      <c r="C4" s="5">
        <v>404641953</v>
      </c>
      <c r="D4" s="5">
        <v>952156416</v>
      </c>
      <c r="E4" s="5">
        <v>952156416</v>
      </c>
      <c r="F4" s="5">
        <v>952156416</v>
      </c>
      <c r="G4" s="5">
        <v>952156416</v>
      </c>
      <c r="H4" s="5">
        <v>952156416</v>
      </c>
      <c r="I4" s="5">
        <v>952156416</v>
      </c>
      <c r="J4" s="102"/>
    </row>
    <row r="5" spans="1:10">
      <c r="A5" s="23" t="s">
        <v>30</v>
      </c>
      <c r="B5" s="24">
        <v>5170014280</v>
      </c>
      <c r="C5" s="5">
        <v>7024149587</v>
      </c>
      <c r="D5" s="5">
        <v>8363596736</v>
      </c>
      <c r="E5" s="5">
        <v>8363596736</v>
      </c>
      <c r="F5" s="5">
        <v>8363596736</v>
      </c>
      <c r="G5" s="5">
        <v>8363596736</v>
      </c>
      <c r="H5" s="5">
        <v>8363596736</v>
      </c>
      <c r="I5" s="5">
        <v>8363596736</v>
      </c>
    </row>
    <row r="6" spans="1:10">
      <c r="A6" s="23" t="s">
        <v>31</v>
      </c>
      <c r="B6" s="24">
        <v>16005859000</v>
      </c>
      <c r="C6" s="5">
        <v>24848615188</v>
      </c>
      <c r="D6" s="5">
        <v>26196086171</v>
      </c>
      <c r="E6" s="6">
        <f>D6+D6*Assumptions!$B$6</f>
        <v>27616626741.028893</v>
      </c>
      <c r="F6" s="6">
        <f>E6+E6*Assumptions!$B$6</f>
        <v>29114199257.659485</v>
      </c>
      <c r="G6" s="6">
        <f>F6+F6*Assumptions!$B$6</f>
        <v>30692980948.154724</v>
      </c>
      <c r="H6" s="6">
        <f>G6+G6*Assumptions!$B$6</f>
        <v>32357375559.142265</v>
      </c>
      <c r="I6" s="6">
        <f>H6+H6*Assumptions!$B$6</f>
        <v>34112025640.126797</v>
      </c>
    </row>
    <row r="7" spans="1:10">
      <c r="A7" s="23" t="s">
        <v>32</v>
      </c>
      <c r="B7" s="24">
        <v>80165410</v>
      </c>
      <c r="C7" s="5">
        <v>113989878</v>
      </c>
      <c r="D7" s="5">
        <v>136553987</v>
      </c>
      <c r="E7" s="5">
        <v>136553987</v>
      </c>
      <c r="F7" s="5">
        <v>136553987</v>
      </c>
      <c r="G7" s="5">
        <v>136553987</v>
      </c>
      <c r="H7" s="5">
        <v>136553987</v>
      </c>
      <c r="I7" s="5">
        <v>136553987</v>
      </c>
    </row>
    <row r="8" spans="1:10">
      <c r="A8" s="23" t="s">
        <v>33</v>
      </c>
      <c r="B8" s="24">
        <v>1467125151</v>
      </c>
      <c r="C8" s="5">
        <v>1998002035</v>
      </c>
      <c r="D8" s="5">
        <v>2010045840</v>
      </c>
      <c r="E8" s="5">
        <v>2010045840</v>
      </c>
      <c r="F8" s="5">
        <v>2010045840</v>
      </c>
      <c r="G8" s="5">
        <v>2010045840</v>
      </c>
      <c r="H8" s="5">
        <v>2010045840</v>
      </c>
      <c r="I8" s="5">
        <v>2010045840</v>
      </c>
    </row>
    <row r="9" spans="1:10">
      <c r="A9" s="26" t="s">
        <v>34</v>
      </c>
      <c r="B9" s="27">
        <v>24660814672</v>
      </c>
      <c r="C9" s="28">
        <v>36176230869</v>
      </c>
      <c r="D9" s="28">
        <v>39101989446</v>
      </c>
      <c r="E9" s="29">
        <f t="shared" ref="E9:I9" si="1">SUM(E3:E8)</f>
        <v>41013602228.124222</v>
      </c>
      <c r="F9" s="29">
        <f t="shared" si="1"/>
        <v>43060152524.38269</v>
      </c>
      <c r="G9" s="29">
        <f t="shared" si="1"/>
        <v>45252879338.195702</v>
      </c>
      <c r="H9" s="29">
        <f t="shared" si="1"/>
        <v>47604122878.296555</v>
      </c>
      <c r="I9" s="29">
        <f t="shared" si="1"/>
        <v>50127445934.146317</v>
      </c>
    </row>
    <row r="10" spans="1:10">
      <c r="A10" s="20" t="s">
        <v>35</v>
      </c>
      <c r="B10" s="21"/>
      <c r="C10" s="22"/>
      <c r="D10" s="22"/>
    </row>
    <row r="11" spans="1:10">
      <c r="A11" s="18" t="s">
        <v>36</v>
      </c>
      <c r="B11" s="30">
        <v>5579743</v>
      </c>
      <c r="C11" s="5">
        <v>7596911</v>
      </c>
      <c r="D11" s="5">
        <v>7652222</v>
      </c>
      <c r="E11" s="5">
        <v>7652222</v>
      </c>
      <c r="F11" s="5">
        <v>7652222</v>
      </c>
      <c r="G11" s="5">
        <v>7652222</v>
      </c>
      <c r="H11" s="5">
        <v>7652222</v>
      </c>
      <c r="I11" s="5">
        <v>7652222</v>
      </c>
    </row>
    <row r="12" spans="1:10">
      <c r="A12" s="18" t="s">
        <v>37</v>
      </c>
      <c r="B12" s="24">
        <v>10670189</v>
      </c>
      <c r="C12" s="5">
        <v>26527161</v>
      </c>
      <c r="D12" s="5">
        <v>38051944</v>
      </c>
      <c r="E12" s="5">
        <v>38051944</v>
      </c>
      <c r="F12" s="5">
        <v>38051944</v>
      </c>
      <c r="G12" s="5">
        <v>38051944</v>
      </c>
      <c r="H12" s="5">
        <v>38051944</v>
      </c>
      <c r="I12" s="5">
        <v>38051944</v>
      </c>
    </row>
    <row r="13" spans="1:10">
      <c r="A13" s="18" t="s">
        <v>38</v>
      </c>
      <c r="B13" s="24">
        <v>2785740145</v>
      </c>
      <c r="C13" s="5">
        <v>4368333979</v>
      </c>
      <c r="D13" s="5">
        <v>4968542229</v>
      </c>
      <c r="E13" s="6">
        <f>D13 + IS!E11*(1-Assumptions!$B$8)</f>
        <v>5408040963.0505667</v>
      </c>
      <c r="F13" s="6">
        <f>E13 + IS!F11*(1-Assumptions!$B$8)</f>
        <v>5902648578.998209</v>
      </c>
      <c r="G13" s="6">
        <f>F13 + IS!G11*(1-Assumptions!$B$8)</f>
        <v>6459275196.5512495</v>
      </c>
      <c r="H13" s="6">
        <f>G13 + IS!H11*(1-Assumptions!$B$8)</f>
        <v>7085697397.4607811</v>
      </c>
      <c r="I13" s="6">
        <f>H13 + IS!I11*(1-Assumptions!$B$8)</f>
        <v>7790666871.4636126</v>
      </c>
    </row>
    <row r="14" spans="1:10">
      <c r="A14" s="31" t="s">
        <v>39</v>
      </c>
      <c r="B14" s="32">
        <f>IS!B11</f>
        <v>441087014</v>
      </c>
      <c r="C14" s="32">
        <f>IS!C11</f>
        <v>608122785</v>
      </c>
      <c r="D14" s="32">
        <f>IS!D11</f>
        <v>673473581</v>
      </c>
      <c r="E14" s="32">
        <f>IS!E11</f>
        <v>576910862.73757911</v>
      </c>
      <c r="F14" s="32">
        <f>IS!F11</f>
        <v>649249893.85771739</v>
      </c>
      <c r="G14" s="32">
        <f>IS!G11</f>
        <v>730659538.41468418</v>
      </c>
      <c r="H14" s="32">
        <f>IS!H11</f>
        <v>822277163.42662191</v>
      </c>
      <c r="I14" s="32">
        <f>IS!I11</f>
        <v>925382750.71308279</v>
      </c>
      <c r="J14" s="7" t="s">
        <v>40</v>
      </c>
    </row>
    <row r="15" spans="1:10">
      <c r="A15" s="18" t="s">
        <v>41</v>
      </c>
      <c r="B15" s="24">
        <v>18833946463</v>
      </c>
      <c r="C15" s="5">
        <v>23797862764</v>
      </c>
      <c r="D15" s="5">
        <v>27147148959</v>
      </c>
      <c r="E15" s="6">
        <f>E6/Assumptions!$B$7</f>
        <v>28619263007.073654</v>
      </c>
      <c r="F15" s="6">
        <f>F6/Assumptions!$B$7</f>
        <v>30171205687.384483</v>
      </c>
      <c r="G15" s="6">
        <f>G6/Assumptions!$B$7</f>
        <v>31807305883.644451</v>
      </c>
      <c r="H15" s="6">
        <f>H6/Assumptions!$B$7</f>
        <v>33532127222.835777</v>
      </c>
      <c r="I15" s="6">
        <f>I6/Assumptions!$B$7</f>
        <v>35350480804.682701</v>
      </c>
    </row>
    <row r="16" spans="1:10">
      <c r="A16" s="18" t="s">
        <v>42</v>
      </c>
      <c r="B16" s="24">
        <v>2067655655</v>
      </c>
      <c r="C16" s="5">
        <v>6621530751</v>
      </c>
      <c r="D16" s="5">
        <v>5479308926</v>
      </c>
      <c r="E16" s="5">
        <v>5479308926</v>
      </c>
      <c r="F16" s="5">
        <v>5479308926</v>
      </c>
      <c r="G16" s="5">
        <v>5479308926</v>
      </c>
      <c r="H16" s="5">
        <v>5479308926</v>
      </c>
      <c r="I16" s="5">
        <v>5479308926</v>
      </c>
    </row>
    <row r="17" spans="1:11">
      <c r="A17" s="18" t="s">
        <v>43</v>
      </c>
      <c r="B17" s="33">
        <v>957222477</v>
      </c>
      <c r="C17" s="33">
        <v>1354379303</v>
      </c>
      <c r="D17" s="34">
        <v>1461285166</v>
      </c>
      <c r="E17" s="34">
        <v>1461285166</v>
      </c>
      <c r="F17" s="34">
        <v>1461285166</v>
      </c>
      <c r="G17" s="34">
        <v>1461285166</v>
      </c>
      <c r="H17" s="34">
        <v>1461285166</v>
      </c>
      <c r="I17" s="34">
        <v>1461285166</v>
      </c>
    </row>
    <row r="18" spans="1:11">
      <c r="A18" s="26" t="s">
        <v>44</v>
      </c>
      <c r="B18" s="35">
        <v>24660814672</v>
      </c>
      <c r="C18" s="35">
        <v>36176230869</v>
      </c>
      <c r="D18" s="27">
        <v>39101989446</v>
      </c>
      <c r="E18" s="29">
        <f t="shared" ref="E18:I18" si="2">SUM(E11:E13,E15:E17)</f>
        <v>41013602228.124222</v>
      </c>
      <c r="F18" s="29">
        <f t="shared" si="2"/>
        <v>43060152524.38269</v>
      </c>
      <c r="G18" s="29">
        <f t="shared" si="2"/>
        <v>45252879338.195702</v>
      </c>
      <c r="H18" s="29">
        <f t="shared" si="2"/>
        <v>47604122878.296555</v>
      </c>
      <c r="I18" s="29">
        <f t="shared" si="2"/>
        <v>50127445934.146317</v>
      </c>
    </row>
    <row r="19" spans="1:11">
      <c r="A19" s="18"/>
    </row>
    <row r="20" spans="1:11">
      <c r="A20" s="36" t="s">
        <v>45</v>
      </c>
      <c r="B20" s="37">
        <f t="shared" ref="B20:I20" si="3">B9-B18</f>
        <v>0</v>
      </c>
      <c r="C20" s="38">
        <f t="shared" si="3"/>
        <v>0</v>
      </c>
      <c r="D20" s="38">
        <f t="shared" si="3"/>
        <v>0</v>
      </c>
      <c r="E20" s="38">
        <f t="shared" si="3"/>
        <v>0</v>
      </c>
      <c r="F20" s="38">
        <f t="shared" si="3"/>
        <v>0</v>
      </c>
      <c r="G20" s="38">
        <f t="shared" si="3"/>
        <v>0</v>
      </c>
      <c r="H20" s="38">
        <f t="shared" si="3"/>
        <v>0</v>
      </c>
      <c r="I20" s="38">
        <f t="shared" si="3"/>
        <v>0</v>
      </c>
    </row>
    <row r="21" spans="1:11">
      <c r="A21" s="39" t="s">
        <v>46</v>
      </c>
      <c r="B21" s="6">
        <f>B3+B4-CFS!B12</f>
        <v>0</v>
      </c>
      <c r="C21" s="6">
        <f>C3+C4-CFS!C12</f>
        <v>0</v>
      </c>
      <c r="D21" s="6">
        <f>D3+D4-CFS!D12</f>
        <v>0</v>
      </c>
      <c r="E21" s="6">
        <f>E3+E4-CFS!E12</f>
        <v>261473948.80157137</v>
      </c>
      <c r="F21" s="6">
        <f>F3+F4-CFS!F12</f>
        <v>552307115.84145451</v>
      </c>
      <c r="G21" s="6">
        <f>G3+G4-CFS!G12</f>
        <v>875981841.72925425</v>
      </c>
      <c r="H21" s="6">
        <f>H3+H4-CFS!H12</f>
        <v>4736550756.1542892</v>
      </c>
      <c r="I21" s="6">
        <f>I3+I4-CFS!I12</f>
        <v>5505223731.019516</v>
      </c>
    </row>
    <row r="22" spans="1:11" ht="52.8">
      <c r="A22" s="18"/>
      <c r="J22" s="7" t="s">
        <v>47</v>
      </c>
      <c r="K22" s="40" t="s">
        <v>195</v>
      </c>
    </row>
    <row r="24" spans="1:11">
      <c r="A24" s="41" t="s">
        <v>48</v>
      </c>
      <c r="D24" s="6">
        <f t="shared" ref="D24:I24" si="4">D13+D11</f>
        <v>4976194451</v>
      </c>
      <c r="E24" s="6">
        <f t="shared" si="4"/>
        <v>5415693185.0505667</v>
      </c>
      <c r="F24" s="6">
        <f t="shared" si="4"/>
        <v>5910300800.998209</v>
      </c>
      <c r="G24" s="6">
        <f t="shared" si="4"/>
        <v>6466927418.5512495</v>
      </c>
      <c r="H24" s="6">
        <f t="shared" si="4"/>
        <v>7093349619.4607811</v>
      </c>
      <c r="I24" s="6">
        <f t="shared" si="4"/>
        <v>7798319093.4636126</v>
      </c>
      <c r="J24" s="7" t="s">
        <v>49</v>
      </c>
    </row>
    <row r="25" spans="1:11">
      <c r="A25" s="3" t="s">
        <v>50</v>
      </c>
      <c r="E25" s="6">
        <f t="shared" ref="E25:I25" si="5">(D24+E24)/2</f>
        <v>5195943818.0252838</v>
      </c>
      <c r="F25" s="6">
        <f t="shared" si="5"/>
        <v>5662996993.0243874</v>
      </c>
      <c r="G25" s="6">
        <f t="shared" si="5"/>
        <v>6188614109.7747288</v>
      </c>
      <c r="H25" s="6">
        <f t="shared" si="5"/>
        <v>6780138519.0060158</v>
      </c>
      <c r="I25" s="6">
        <f t="shared" si="5"/>
        <v>7445834356.4621964</v>
      </c>
    </row>
    <row r="26" spans="1:11">
      <c r="J26" s="7" t="s">
        <v>51</v>
      </c>
    </row>
    <row r="44" spans="10:10">
      <c r="J44" s="40"/>
    </row>
  </sheetData>
  <mergeCells count="1">
    <mergeCell ref="J3: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8"/>
  <sheetViews>
    <sheetView workbookViewId="0">
      <pane ySplit="1" topLeftCell="A2" activePane="bottomLeft" state="frozen"/>
      <selection pane="bottomLeft" activeCell="D22" sqref="D22"/>
    </sheetView>
  </sheetViews>
  <sheetFormatPr defaultColWidth="12.6640625" defaultRowHeight="15.75" customHeight="1"/>
  <cols>
    <col min="1" max="1" width="49.109375" bestFit="1" customWidth="1"/>
    <col min="4" max="7" width="13.44140625" bestFit="1" customWidth="1"/>
    <col min="10" max="10" width="41.109375" bestFit="1" customWidth="1"/>
  </cols>
  <sheetData>
    <row r="1" spans="1:7">
      <c r="B1" s="19" t="s">
        <v>0</v>
      </c>
      <c r="C1" s="19" t="s">
        <v>1</v>
      </c>
      <c r="D1" s="19" t="s">
        <v>2</v>
      </c>
      <c r="E1" s="19" t="s">
        <v>3</v>
      </c>
      <c r="F1" s="19" t="s">
        <v>4</v>
      </c>
      <c r="G1" s="19" t="s">
        <v>5</v>
      </c>
    </row>
    <row r="2" spans="1:7">
      <c r="A2" s="42" t="s">
        <v>52</v>
      </c>
      <c r="B2" s="6">
        <f>IS!B11</f>
        <v>441087014</v>
      </c>
      <c r="C2" s="6">
        <f>IS!C11</f>
        <v>608122785</v>
      </c>
      <c r="D2" s="6">
        <f>IS!D11</f>
        <v>673473581</v>
      </c>
      <c r="E2" s="6">
        <f>IS!E11</f>
        <v>576910862.73757911</v>
      </c>
      <c r="F2" s="6">
        <f>IS!F11</f>
        <v>649249893.85771739</v>
      </c>
      <c r="G2" s="6">
        <f>IS!G11</f>
        <v>730659538.41468418</v>
      </c>
    </row>
    <row r="4" spans="1:7">
      <c r="A4" s="43" t="s">
        <v>53</v>
      </c>
      <c r="B4" s="44">
        <v>273134078</v>
      </c>
      <c r="C4" s="44">
        <v>350149646</v>
      </c>
      <c r="D4" s="44">
        <v>1451773037</v>
      </c>
      <c r="E4" s="6">
        <f>D4*(1+Assumptions!$B$2)</f>
        <v>1633811306.1436517</v>
      </c>
      <c r="F4" s="6">
        <f>E4*(1+Assumptions!$B$2)</f>
        <v>1838675410.0343754</v>
      </c>
      <c r="G4" s="6">
        <f>F4*(1+Assumptions!$B$2)</f>
        <v>2069227487.1354272</v>
      </c>
    </row>
    <row r="5" spans="1:7">
      <c r="A5" s="43" t="s">
        <v>55</v>
      </c>
      <c r="B5" s="44">
        <v>-24288813</v>
      </c>
      <c r="C5" s="44">
        <v>70941730</v>
      </c>
      <c r="D5" s="44">
        <v>-20390054</v>
      </c>
      <c r="E5" s="6">
        <f>D5*(1+Assumptions!$B$2)</f>
        <v>-22946769.163670309</v>
      </c>
      <c r="F5" s="6">
        <f>E5*(1+Assumptions!$B$2)</f>
        <v>-25824071.630745586</v>
      </c>
      <c r="G5" s="6">
        <f>F5*(1+Assumptions!$B$2)</f>
        <v>-29062159.942136791</v>
      </c>
    </row>
    <row r="6" spans="1:7">
      <c r="A6" s="43" t="s">
        <v>56</v>
      </c>
      <c r="B6" s="44">
        <v>161219226</v>
      </c>
      <c r="C6" s="44">
        <v>-222369351</v>
      </c>
      <c r="D6" s="44">
        <v>-1229088782</v>
      </c>
      <c r="E6" s="6">
        <f>D6*(1+Assumptions!$B$2)</f>
        <v>-1383204603.6862235</v>
      </c>
      <c r="F6" s="6">
        <f>E6*(1+Assumptions!$B$2)</f>
        <v>-1556645055.8156364</v>
      </c>
      <c r="G6" s="6">
        <f>F6*(1+Assumptions!$B$2)</f>
        <v>-1751833259.7633183</v>
      </c>
    </row>
    <row r="7" spans="1:7">
      <c r="A7" s="45" t="s">
        <v>57</v>
      </c>
      <c r="B7" s="44">
        <v>4317096</v>
      </c>
      <c r="C7" s="44">
        <v>1012629</v>
      </c>
      <c r="D7" s="44">
        <v>1938330</v>
      </c>
      <c r="E7" s="44">
        <v>1938330</v>
      </c>
      <c r="F7" s="44">
        <v>1938330</v>
      </c>
      <c r="G7" s="44">
        <v>1938330</v>
      </c>
    </row>
    <row r="9" spans="1:7">
      <c r="A9" s="46" t="s">
        <v>58</v>
      </c>
      <c r="B9" s="47">
        <f t="shared" ref="B9:G9" si="0">SUM(B4:B7)</f>
        <v>414381587</v>
      </c>
      <c r="C9" s="47">
        <f t="shared" si="0"/>
        <v>199734654</v>
      </c>
      <c r="D9" s="47">
        <f t="shared" si="0"/>
        <v>204232531</v>
      </c>
      <c r="E9" s="47">
        <f t="shared" si="0"/>
        <v>229598263.29375792</v>
      </c>
      <c r="F9" s="47">
        <f t="shared" si="0"/>
        <v>258144612.58799338</v>
      </c>
      <c r="G9" s="47">
        <f t="shared" si="0"/>
        <v>290270397.42997217</v>
      </c>
    </row>
    <row r="10" spans="1:7">
      <c r="A10" s="12" t="s">
        <v>59</v>
      </c>
      <c r="B10" s="48">
        <v>0</v>
      </c>
      <c r="C10" s="49">
        <v>54088696</v>
      </c>
      <c r="D10" s="48">
        <v>0</v>
      </c>
      <c r="E10" s="48">
        <v>0</v>
      </c>
      <c r="F10" s="48">
        <v>0</v>
      </c>
      <c r="G10" s="48">
        <v>0</v>
      </c>
    </row>
    <row r="11" spans="1:7">
      <c r="A11" s="7" t="s">
        <v>60</v>
      </c>
      <c r="B11" s="44">
        <v>1523269244</v>
      </c>
      <c r="C11" s="44">
        <v>1937650831</v>
      </c>
      <c r="D11" s="44">
        <v>2191474181</v>
      </c>
      <c r="E11" s="6">
        <f t="shared" ref="E11:G11" si="1">D12</f>
        <v>2395706712</v>
      </c>
      <c r="F11" s="6">
        <f t="shared" si="1"/>
        <v>2625304975.2937579</v>
      </c>
      <c r="G11" s="6">
        <f t="shared" si="1"/>
        <v>2883449587.8817511</v>
      </c>
    </row>
    <row r="12" spans="1:7">
      <c r="A12" s="7" t="s">
        <v>61</v>
      </c>
      <c r="B12" s="50">
        <f t="shared" ref="B12:G12" si="2">SUM(B9:B11)</f>
        <v>1937650831</v>
      </c>
      <c r="C12" s="50">
        <f t="shared" si="2"/>
        <v>2191474181</v>
      </c>
      <c r="D12" s="50">
        <f t="shared" si="2"/>
        <v>2395706712</v>
      </c>
      <c r="E12" s="50">
        <f t="shared" si="2"/>
        <v>2625304975.2937579</v>
      </c>
      <c r="F12" s="50">
        <f t="shared" si="2"/>
        <v>2883449587.8817511</v>
      </c>
      <c r="G12" s="50">
        <f t="shared" si="2"/>
        <v>3173719985.3117232</v>
      </c>
    </row>
    <row r="14" spans="1:7">
      <c r="A14" s="51" t="s">
        <v>62</v>
      </c>
      <c r="B14" s="3"/>
      <c r="C14" s="3"/>
      <c r="D14" s="3"/>
    </row>
    <row r="15" spans="1:7">
      <c r="A15" s="51" t="s">
        <v>63</v>
      </c>
      <c r="B15" s="52">
        <v>1937650831</v>
      </c>
      <c r="C15" s="52">
        <v>2191474181</v>
      </c>
      <c r="D15" s="52">
        <v>2395706712</v>
      </c>
      <c r="E15" s="53"/>
      <c r="F15" s="53"/>
      <c r="G15" s="53"/>
    </row>
    <row r="16" spans="1:7">
      <c r="A16" s="51" t="s">
        <v>64</v>
      </c>
      <c r="B16" s="51" t="b">
        <f t="shared" ref="B16:D16" si="3">B15-B12=0</f>
        <v>1</v>
      </c>
      <c r="C16" s="51" t="b">
        <f t="shared" si="3"/>
        <v>1</v>
      </c>
      <c r="D16" s="51" t="b">
        <f t="shared" si="3"/>
        <v>1</v>
      </c>
      <c r="E16" s="3"/>
      <c r="F16" s="3"/>
      <c r="G16" s="3"/>
    </row>
    <row r="18" spans="1:1" ht="15.75" customHeight="1">
      <c r="A18" s="7"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34"/>
  <sheetViews>
    <sheetView topLeftCell="D19" workbookViewId="0">
      <selection activeCell="B2" sqref="B2"/>
    </sheetView>
  </sheetViews>
  <sheetFormatPr defaultColWidth="12.6640625" defaultRowHeight="15.75" customHeight="1"/>
  <cols>
    <col min="1" max="1" width="57.77734375" customWidth="1"/>
    <col min="2" max="2" width="29.21875" customWidth="1"/>
    <col min="3" max="3" width="24.21875" customWidth="1"/>
    <col min="6" max="6" width="15.88671875" customWidth="1"/>
    <col min="8" max="8" width="24.109375" customWidth="1"/>
    <col min="9" max="9" width="89" customWidth="1"/>
    <col min="12" max="12" width="23.21875" customWidth="1"/>
  </cols>
  <sheetData>
    <row r="1" spans="1:12">
      <c r="B1" s="19" t="s">
        <v>65</v>
      </c>
    </row>
    <row r="2" spans="1:12">
      <c r="A2" s="19" t="s">
        <v>66</v>
      </c>
      <c r="B2" s="54">
        <f>(IS!D4/IS!C4)-1</f>
        <v>0.12539030861175293</v>
      </c>
    </row>
    <row r="3" spans="1:12">
      <c r="A3" s="19" t="s">
        <v>67</v>
      </c>
      <c r="B3" s="54">
        <f>IS!D13/BS!D6</f>
        <v>4.6827639899810744E-2</v>
      </c>
    </row>
    <row r="4" spans="1:12">
      <c r="A4" s="19" t="s">
        <v>68</v>
      </c>
      <c r="B4" s="54">
        <f>IS!D5/IS!D4</f>
        <v>0.19695223237956147</v>
      </c>
    </row>
    <row r="5" spans="1:12">
      <c r="A5" s="19" t="s">
        <v>69</v>
      </c>
      <c r="B5" s="54">
        <f>IS!D10/IS!D9</f>
        <v>0.23882418368763905</v>
      </c>
    </row>
    <row r="6" spans="1:12">
      <c r="A6" s="19" t="s">
        <v>70</v>
      </c>
      <c r="B6" s="54">
        <f>(BS!D6/BS!C6)-1</f>
        <v>5.422720633746736E-2</v>
      </c>
      <c r="H6" s="103" t="s">
        <v>71</v>
      </c>
      <c r="I6" s="104"/>
    </row>
    <row r="7" spans="1:12">
      <c r="A7" s="19" t="s">
        <v>72</v>
      </c>
      <c r="B7" s="54">
        <f>BS!D6/BS!D15</f>
        <v>0.96496638415192781</v>
      </c>
      <c r="C7" s="7" t="s">
        <v>73</v>
      </c>
      <c r="H7" s="22" t="s">
        <v>74</v>
      </c>
      <c r="I7" s="22" t="s">
        <v>75</v>
      </c>
    </row>
    <row r="8" spans="1:12">
      <c r="A8" s="19" t="s">
        <v>76</v>
      </c>
      <c r="B8" s="54">
        <f>AVERAGE(H8:I8)</f>
        <v>0.2381860657553915</v>
      </c>
      <c r="H8" s="55">
        <f>22/88.29</f>
        <v>0.24917884245101368</v>
      </c>
      <c r="I8" s="55">
        <f>19.5/85.83</f>
        <v>0.22719328905976932</v>
      </c>
    </row>
    <row r="9" spans="1:12">
      <c r="A9" s="56" t="s">
        <v>77</v>
      </c>
      <c r="D9" s="3" t="s">
        <v>3</v>
      </c>
      <c r="E9" s="3" t="s">
        <v>4</v>
      </c>
      <c r="F9" s="3" t="s">
        <v>5</v>
      </c>
      <c r="G9" s="3" t="s">
        <v>6</v>
      </c>
      <c r="H9" s="3" t="s">
        <v>7</v>
      </c>
    </row>
    <row r="10" spans="1:12">
      <c r="A10" s="3" t="s">
        <v>78</v>
      </c>
      <c r="H10" s="40"/>
      <c r="I10" s="40"/>
      <c r="J10" s="40"/>
      <c r="K10" s="40"/>
      <c r="L10" s="40"/>
    </row>
    <row r="11" spans="1:12">
      <c r="A11" s="3" t="s">
        <v>79</v>
      </c>
      <c r="D11" s="54">
        <f>IS!E11/BS!E25</f>
        <v>0.11103100474955363</v>
      </c>
      <c r="E11" s="54">
        <f>IS!F11/BS!F13</f>
        <v>0.10999297775709821</v>
      </c>
      <c r="F11" s="54">
        <f>IS!G11/BS!G13</f>
        <v>0.11311788338183819</v>
      </c>
      <c r="G11" s="54">
        <f>IS!H11/BS!H13</f>
        <v>0.11604745691246875</v>
      </c>
      <c r="H11" s="54">
        <f>IS!I11/BS!I13</f>
        <v>0.11878094211711988</v>
      </c>
      <c r="I11" s="40"/>
      <c r="J11" s="40"/>
      <c r="K11" s="40"/>
      <c r="L11" s="40"/>
    </row>
    <row r="12" spans="1:12">
      <c r="A12" s="3" t="s">
        <v>80</v>
      </c>
      <c r="D12" s="54">
        <f>IS!E13/BS!E6</f>
        <v>4.998862844897832E-2</v>
      </c>
      <c r="E12" s="54">
        <f>IS!F13/BS!F6</f>
        <v>5.3362992018312322E-2</v>
      </c>
      <c r="F12" s="54">
        <f>IS!G13/BS!G6</f>
        <v>5.6965133981479829E-2</v>
      </c>
      <c r="G12" s="54">
        <f>IS!H13/BS!H6</f>
        <v>6.0810429977658828E-2</v>
      </c>
      <c r="H12" s="54">
        <f>IS!I13/BS!I6</f>
        <v>6.4915293542010963E-2</v>
      </c>
      <c r="I12" s="40"/>
      <c r="J12" s="40"/>
      <c r="K12" s="40"/>
      <c r="L12" s="40"/>
    </row>
    <row r="13" spans="1:12">
      <c r="A13" s="3" t="s">
        <v>81</v>
      </c>
      <c r="D13" s="54">
        <f>IS!E5/IS!E4</f>
        <v>0.19695223237956147</v>
      </c>
      <c r="E13" s="54">
        <f>IS!F5/IS!F4</f>
        <v>0.19695223237956147</v>
      </c>
      <c r="F13" s="54">
        <f>IS!G5/IS!G4</f>
        <v>0.19695223237956147</v>
      </c>
      <c r="G13" s="54">
        <f>IS!H5/IS!H4</f>
        <v>0.19695223237956147</v>
      </c>
      <c r="H13" s="54">
        <f>IS!I5/IS!I4</f>
        <v>0.1969522323795615</v>
      </c>
      <c r="I13" s="40"/>
      <c r="J13" s="40"/>
      <c r="K13" s="40"/>
      <c r="L13" s="40"/>
    </row>
    <row r="14" spans="1:12">
      <c r="A14" s="19" t="s">
        <v>82</v>
      </c>
      <c r="B14" s="57">
        <v>0.08</v>
      </c>
      <c r="D14" s="57">
        <f t="shared" ref="D14:H14" si="0">D11*(1-$B$8)</f>
        <v>8.4584966551389265E-2</v>
      </c>
      <c r="E14" s="57">
        <f t="shared" si="0"/>
        <v>8.3794183124414709E-2</v>
      </c>
      <c r="F14" s="57">
        <f t="shared" si="0"/>
        <v>8.6174779772540969E-2</v>
      </c>
      <c r="G14" s="57">
        <f t="shared" si="0"/>
        <v>8.8406569709569505E-2</v>
      </c>
      <c r="H14" s="57">
        <f t="shared" si="0"/>
        <v>9.0488976827524215E-2</v>
      </c>
      <c r="I14" s="40"/>
      <c r="J14" s="40"/>
      <c r="K14" s="40"/>
      <c r="L14" s="40"/>
    </row>
    <row r="15" spans="1:12">
      <c r="H15" s="40"/>
      <c r="I15" s="40"/>
      <c r="J15" s="40"/>
      <c r="K15" s="40"/>
      <c r="L15" s="40"/>
    </row>
    <row r="16" spans="1:12">
      <c r="A16" s="7" t="s">
        <v>83</v>
      </c>
      <c r="B16" s="54">
        <f>100%-B8</f>
        <v>0.76181393424460853</v>
      </c>
      <c r="H16" s="40"/>
      <c r="I16" s="40"/>
      <c r="J16" s="40"/>
      <c r="K16" s="40"/>
      <c r="L16" s="40"/>
    </row>
    <row r="17" spans="2:12">
      <c r="H17" s="40"/>
      <c r="I17" s="40"/>
      <c r="J17" s="40"/>
      <c r="K17" s="40"/>
      <c r="L17" s="40"/>
    </row>
    <row r="18" spans="2:12">
      <c r="H18" s="40"/>
      <c r="I18" s="40"/>
      <c r="J18" s="40"/>
      <c r="K18" s="40"/>
      <c r="L18" s="40"/>
    </row>
    <row r="19" spans="2:12">
      <c r="H19" s="40"/>
      <c r="I19" s="40"/>
      <c r="J19" s="40"/>
      <c r="K19" s="40"/>
      <c r="L19" s="40"/>
    </row>
    <row r="20" spans="2:12">
      <c r="H20" s="40"/>
      <c r="I20" s="40"/>
      <c r="J20" s="40"/>
      <c r="K20" s="40"/>
      <c r="L20" s="40"/>
    </row>
    <row r="21" spans="2:12">
      <c r="H21" s="40"/>
      <c r="I21" s="40"/>
      <c r="J21" s="40"/>
      <c r="K21" s="40"/>
      <c r="L21" s="40"/>
    </row>
    <row r="23" spans="2:12">
      <c r="B23" s="7" t="s">
        <v>84</v>
      </c>
      <c r="E23" s="7" t="s">
        <v>85</v>
      </c>
      <c r="G23" s="7" t="s">
        <v>86</v>
      </c>
      <c r="I23" s="7" t="s">
        <v>87</v>
      </c>
    </row>
    <row r="25" spans="2:12" ht="72.599999999999994" customHeight="1">
      <c r="I25" s="40" t="s">
        <v>88</v>
      </c>
    </row>
    <row r="26" spans="2:12" ht="9.6" customHeight="1">
      <c r="I26" s="7"/>
    </row>
    <row r="27" spans="2:12" ht="101.4" customHeight="1">
      <c r="I27" s="40" t="s">
        <v>89</v>
      </c>
    </row>
    <row r="28" spans="2:12" ht="13.2">
      <c r="I28" s="7"/>
    </row>
    <row r="29" spans="2:12">
      <c r="I29" s="7"/>
    </row>
    <row r="30" spans="2:12">
      <c r="I30" s="7"/>
    </row>
    <row r="32" spans="2:12">
      <c r="I32" s="7"/>
    </row>
    <row r="33" spans="9:9">
      <c r="I33" s="7"/>
    </row>
    <row r="34" spans="9:9">
      <c r="I34" s="7"/>
    </row>
  </sheetData>
  <mergeCells count="1">
    <mergeCell ref="H6:I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76"/>
  <sheetViews>
    <sheetView tabSelected="1" zoomScale="116" workbookViewId="0">
      <selection activeCell="G48" sqref="G48"/>
    </sheetView>
  </sheetViews>
  <sheetFormatPr defaultColWidth="12.6640625" defaultRowHeight="15.75" customHeight="1"/>
  <cols>
    <col min="1" max="1" width="58.44140625" customWidth="1"/>
    <col min="2" max="2" width="14.33203125" customWidth="1"/>
    <col min="6" max="6" width="15.44140625" customWidth="1"/>
    <col min="7" max="7" width="14.77734375" customWidth="1"/>
  </cols>
  <sheetData>
    <row r="1" spans="1:7" ht="13.2">
      <c r="B1" s="3" t="s">
        <v>3</v>
      </c>
      <c r="C1" s="3" t="s">
        <v>4</v>
      </c>
      <c r="D1" s="3" t="s">
        <v>5</v>
      </c>
      <c r="E1" s="3" t="s">
        <v>6</v>
      </c>
      <c r="F1" s="3" t="s">
        <v>7</v>
      </c>
    </row>
    <row r="2" spans="1:7" ht="13.2">
      <c r="A2" s="19" t="s">
        <v>90</v>
      </c>
      <c r="B2" s="6">
        <f>IS!E11</f>
        <v>576910862.73757911</v>
      </c>
      <c r="C2" s="6">
        <f>IS!F11</f>
        <v>649249893.85771739</v>
      </c>
      <c r="D2" s="6">
        <f>IS!G11</f>
        <v>730659538.41468418</v>
      </c>
      <c r="E2" s="6">
        <f>IS!H11</f>
        <v>822277163.42662191</v>
      </c>
      <c r="F2" s="6">
        <f>IS!I11</f>
        <v>925382750.71308279</v>
      </c>
    </row>
    <row r="3" spans="1:7" ht="13.2">
      <c r="A3" s="19" t="s">
        <v>91</v>
      </c>
      <c r="B3" s="6">
        <f>BS!E13-BS!D13</f>
        <v>439498734.05056667</v>
      </c>
      <c r="C3" s="6">
        <f>BS!F13-BS!E13</f>
        <v>494607615.94764233</v>
      </c>
      <c r="D3" s="6">
        <f>BS!G13-BS!F13</f>
        <v>556626617.5530405</v>
      </c>
      <c r="E3" s="6">
        <f>BS!H13-BS!G13</f>
        <v>626422200.90953159</v>
      </c>
      <c r="F3" s="6">
        <f>BS!I13-BS!H13</f>
        <v>704969474.00283146</v>
      </c>
    </row>
    <row r="4" spans="1:7" ht="13.2">
      <c r="A4" s="19" t="s">
        <v>92</v>
      </c>
      <c r="B4" s="6">
        <f t="shared" ref="B4:F4" si="0">B2-B3</f>
        <v>137412128.68701243</v>
      </c>
      <c r="C4" s="6">
        <f t="shared" si="0"/>
        <v>154642277.91007507</v>
      </c>
      <c r="D4" s="6">
        <f t="shared" si="0"/>
        <v>174032920.86164367</v>
      </c>
      <c r="E4" s="6">
        <f t="shared" si="0"/>
        <v>195854962.51709032</v>
      </c>
      <c r="F4" s="6">
        <f t="shared" si="0"/>
        <v>220413276.71025133</v>
      </c>
    </row>
    <row r="5" spans="1:7" ht="13.2">
      <c r="A5" s="58" t="s">
        <v>93</v>
      </c>
      <c r="B5" s="44">
        <v>1</v>
      </c>
      <c r="C5" s="44">
        <v>2</v>
      </c>
      <c r="D5" s="44">
        <v>3</v>
      </c>
      <c r="E5" s="44">
        <v>4</v>
      </c>
      <c r="F5" s="44">
        <v>5</v>
      </c>
      <c r="G5" s="6"/>
    </row>
    <row r="6" spans="1:7" ht="13.2">
      <c r="A6" s="19" t="s">
        <v>94</v>
      </c>
      <c r="B6" s="6">
        <f t="shared" ref="B6:F6" si="1">B4/(1+$B$12)^B5</f>
        <v>120294256.05096072</v>
      </c>
      <c r="C6" s="6">
        <f t="shared" si="1"/>
        <v>118513516.53804789</v>
      </c>
      <c r="D6" s="6">
        <f t="shared" si="1"/>
        <v>116759137.66210073</v>
      </c>
      <c r="E6" s="6">
        <f t="shared" si="1"/>
        <v>115030729.2014304</v>
      </c>
      <c r="F6" s="6">
        <f t="shared" si="1"/>
        <v>113327906.71087505</v>
      </c>
      <c r="G6" s="6"/>
    </row>
    <row r="8" spans="1:7" ht="13.2">
      <c r="A8" s="59" t="s">
        <v>95</v>
      </c>
      <c r="B8" s="60">
        <v>6.8500000000000005E-2</v>
      </c>
    </row>
    <row r="9" spans="1:7" ht="13.2">
      <c r="A9" s="61" t="s">
        <v>96</v>
      </c>
      <c r="B9" s="62">
        <v>1.23</v>
      </c>
    </row>
    <row r="10" spans="1:7" ht="13.2">
      <c r="A10" s="61" t="s">
        <v>97</v>
      </c>
      <c r="B10" s="63">
        <v>0.06</v>
      </c>
    </row>
    <row r="11" spans="1:7" ht="13.2">
      <c r="A11" s="64"/>
      <c r="B11" s="65"/>
    </row>
    <row r="12" spans="1:7" ht="13.2">
      <c r="A12" s="66" t="s">
        <v>98</v>
      </c>
      <c r="B12" s="67">
        <f>B8+B9*B10</f>
        <v>0.14229999999999998</v>
      </c>
    </row>
    <row r="14" spans="1:7" ht="13.2">
      <c r="A14" s="7" t="s">
        <v>99</v>
      </c>
      <c r="B14" s="68">
        <f>Assumptions!B14</f>
        <v>0.08</v>
      </c>
    </row>
    <row r="16" spans="1:7" ht="13.2">
      <c r="A16" s="69" t="s">
        <v>100</v>
      </c>
      <c r="F16" s="6">
        <f>F4*(1+B14)/(B12-B14)</f>
        <v>3820968520.8197675</v>
      </c>
    </row>
    <row r="17" spans="1:7" ht="13.2">
      <c r="A17" s="7" t="s">
        <v>101</v>
      </c>
    </row>
    <row r="18" spans="1:7" ht="13.2">
      <c r="A18" s="19" t="s">
        <v>102</v>
      </c>
      <c r="F18" s="6">
        <f>F16/(1+$B$12)^5</f>
        <v>1964592925.3249614</v>
      </c>
    </row>
    <row r="20" spans="1:7" ht="13.2">
      <c r="A20" s="19" t="s">
        <v>103</v>
      </c>
      <c r="B20" s="6">
        <f>SUM(B6:F6)+F18</f>
        <v>2548518471.4883761</v>
      </c>
    </row>
    <row r="21" spans="1:7" ht="17.25" customHeight="1">
      <c r="A21" s="19" t="s">
        <v>104</v>
      </c>
      <c r="B21" s="44">
        <v>15403717</v>
      </c>
      <c r="C21" s="7" t="s">
        <v>105</v>
      </c>
      <c r="G21" s="70"/>
    </row>
    <row r="22" spans="1:7" ht="15" customHeight="1">
      <c r="A22" s="19" t="s">
        <v>106</v>
      </c>
      <c r="B22" s="71">
        <f>B20/B21</f>
        <v>165.44827923600363</v>
      </c>
      <c r="G22" s="70"/>
    </row>
    <row r="24" spans="1:7" ht="13.2">
      <c r="A24" s="3" t="s">
        <v>107</v>
      </c>
      <c r="B24" s="3" t="s">
        <v>3</v>
      </c>
      <c r="C24" s="3" t="s">
        <v>4</v>
      </c>
      <c r="D24" s="3" t="s">
        <v>5</v>
      </c>
      <c r="E24" s="3" t="s">
        <v>6</v>
      </c>
      <c r="F24" s="3" t="s">
        <v>7</v>
      </c>
    </row>
    <row r="25" spans="1:7" ht="13.2">
      <c r="A25" s="7" t="s">
        <v>108</v>
      </c>
      <c r="B25" s="6">
        <f>BS!D13</f>
        <v>4968542229</v>
      </c>
      <c r="C25" s="6">
        <f>BS!E13</f>
        <v>5408040963.0505667</v>
      </c>
      <c r="D25" s="6">
        <f>BS!F13</f>
        <v>5902648578.998209</v>
      </c>
      <c r="E25" s="6">
        <f>BS!G13</f>
        <v>6459275196.5512495</v>
      </c>
      <c r="F25" s="6">
        <f>BS!H13</f>
        <v>7085697397.4607811</v>
      </c>
    </row>
    <row r="26" spans="1:7" ht="13.2">
      <c r="A26" s="7" t="s">
        <v>109</v>
      </c>
      <c r="B26" s="6">
        <f>IS!E11</f>
        <v>576910862.73757911</v>
      </c>
      <c r="C26" s="6">
        <f>IS!F11</f>
        <v>649249893.85771739</v>
      </c>
      <c r="D26" s="6">
        <f>IS!G11</f>
        <v>730659538.41468418</v>
      </c>
      <c r="E26" s="6">
        <f>IS!H11</f>
        <v>822277163.42662191</v>
      </c>
      <c r="F26" s="6">
        <f>IS!I11</f>
        <v>925382750.71308279</v>
      </c>
    </row>
    <row r="27" spans="1:7" ht="13.2">
      <c r="A27" s="7" t="s">
        <v>110</v>
      </c>
      <c r="B27" s="6">
        <f t="shared" ref="B27:F27" si="2">$B$12*B25</f>
        <v>707023559.18669987</v>
      </c>
      <c r="C27" s="6">
        <f t="shared" si="2"/>
        <v>769564229.04209554</v>
      </c>
      <c r="D27" s="6">
        <f t="shared" si="2"/>
        <v>839946892.79144502</v>
      </c>
      <c r="E27" s="6">
        <f t="shared" si="2"/>
        <v>919154860.46924269</v>
      </c>
      <c r="F27" s="6">
        <f t="shared" si="2"/>
        <v>1008294739.658669</v>
      </c>
    </row>
    <row r="28" spans="1:7" ht="13.2">
      <c r="A28" s="7" t="s">
        <v>111</v>
      </c>
      <c r="B28" s="6">
        <f t="shared" ref="B28:F28" si="3">B26-B27</f>
        <v>-130112696.44912076</v>
      </c>
      <c r="C28" s="6">
        <f t="shared" si="3"/>
        <v>-120314335.18437815</v>
      </c>
      <c r="D28" s="6">
        <f t="shared" si="3"/>
        <v>-109287354.37676084</v>
      </c>
      <c r="E28" s="6">
        <f t="shared" si="3"/>
        <v>-96877697.042620778</v>
      </c>
      <c r="F28" s="6">
        <f t="shared" si="3"/>
        <v>-82911988.945586205</v>
      </c>
    </row>
    <row r="29" spans="1:7" ht="13.2">
      <c r="A29" s="7" t="s">
        <v>112</v>
      </c>
      <c r="B29" s="6">
        <f t="shared" ref="B29:F29" si="4">B28/(1+$B$12)^B5</f>
        <v>-113904137.66008995</v>
      </c>
      <c r="C29" s="6">
        <f t="shared" si="4"/>
        <v>-92205541.365147337</v>
      </c>
      <c r="D29" s="6">
        <f t="shared" si="4"/>
        <v>-73321169.300763816</v>
      </c>
      <c r="E29" s="6">
        <f t="shared" si="4"/>
        <v>-56898798.942587458</v>
      </c>
      <c r="F29" s="6">
        <f t="shared" si="4"/>
        <v>-42630109.622618213</v>
      </c>
    </row>
    <row r="31" spans="1:7" ht="13.2">
      <c r="A31" s="7" t="s">
        <v>113</v>
      </c>
      <c r="F31" s="6">
        <f>F28*(1+Assumptions!F14)/($B$12-Assumptions!F14)</f>
        <v>-1604571188.6474791</v>
      </c>
    </row>
    <row r="32" spans="1:7" ht="13.2">
      <c r="A32" s="7" t="s">
        <v>114</v>
      </c>
      <c r="F32" s="6">
        <f>F31/(1+$B$12)^5</f>
        <v>-825007897.40104604</v>
      </c>
    </row>
    <row r="34" spans="1:9" ht="13.2">
      <c r="A34" s="7" t="s">
        <v>115</v>
      </c>
      <c r="B34" s="6">
        <f>BS!D13</f>
        <v>4968542229</v>
      </c>
    </row>
    <row r="35" spans="1:9" ht="13.2">
      <c r="A35" s="7" t="s">
        <v>116</v>
      </c>
      <c r="B35" s="6">
        <f>SUM(B29:F29)</f>
        <v>-378959756.89120674</v>
      </c>
    </row>
    <row r="36" spans="1:9" ht="13.2">
      <c r="A36" s="7" t="s">
        <v>117</v>
      </c>
      <c r="B36" s="6">
        <f>B34+B35+F32</f>
        <v>3764574574.7077475</v>
      </c>
    </row>
    <row r="38" spans="1:9" ht="13.2">
      <c r="A38" s="7" t="s">
        <v>118</v>
      </c>
      <c r="B38" s="71">
        <f>B36/B21</f>
        <v>244.39390665952558</v>
      </c>
    </row>
    <row r="39" spans="1:9" ht="13.2">
      <c r="A39" s="72" t="s">
        <v>119</v>
      </c>
      <c r="B39" s="54">
        <f>(B38/799)-1</f>
        <v>-0.69412527326717699</v>
      </c>
    </row>
    <row r="41" spans="1:9" ht="13.2">
      <c r="G41" s="7"/>
    </row>
    <row r="43" spans="1:9" ht="13.2">
      <c r="A43" s="3" t="s">
        <v>120</v>
      </c>
    </row>
    <row r="44" spans="1:9" ht="13.2">
      <c r="A44" s="3" t="s">
        <v>121</v>
      </c>
      <c r="B44" s="73">
        <f>B38</f>
        <v>244.39390665952558</v>
      </c>
      <c r="C44" s="57">
        <v>0.05</v>
      </c>
      <c r="D44" s="54">
        <v>6.5000000000000002E-2</v>
      </c>
      <c r="E44" s="74">
        <v>0.08</v>
      </c>
      <c r="F44" s="54">
        <v>9.5000000000000001E-2</v>
      </c>
      <c r="G44" s="75">
        <v>0.11</v>
      </c>
    </row>
    <row r="45" spans="1:9" ht="13.2">
      <c r="A45" s="3" t="s">
        <v>122</v>
      </c>
      <c r="B45" s="57">
        <v>0.11</v>
      </c>
      <c r="C45" s="71">
        <f t="shared" ref="C45:G45" ca="1" si="5">IFERROR(($B$34+$B$35+(($F$28*(1+C$44))/(INDIRECT("B"&amp;ROW())-C$44))/(1+INDIRECT("B"&amp;ROW()))^5)/$B$21,"N/A")</f>
        <v>242.05251550346168</v>
      </c>
      <c r="D45" s="71">
        <f t="shared" ca="1" si="5"/>
        <v>222.35427742869288</v>
      </c>
      <c r="E45" s="71">
        <f t="shared" ca="1" si="5"/>
        <v>182.95780127915523</v>
      </c>
      <c r="F45" s="71">
        <f t="shared" ca="1" si="5"/>
        <v>64.768372830542305</v>
      </c>
      <c r="G45" s="71" t="str">
        <f t="shared" ca="1" si="5"/>
        <v>N/A</v>
      </c>
      <c r="I45" s="7" t="s">
        <v>123</v>
      </c>
    </row>
    <row r="46" spans="1:9" ht="13.2">
      <c r="B46" s="54">
        <v>0.125</v>
      </c>
      <c r="C46" s="71">
        <f t="shared" ref="C46:G46" ca="1" si="6">IFERROR(($B$34+$B$35+(($F$28*(1+C$44))/(INDIRECT("B"&amp;ROW())-C$44))/(1+INDIRECT("B"&amp;ROW()))^5)/$B$21,"N/A")</f>
        <v>256.13550171531165</v>
      </c>
      <c r="D46" s="71">
        <f t="shared" ca="1" si="6"/>
        <v>244.93440730402588</v>
      </c>
      <c r="E46" s="71">
        <f t="shared" ca="1" si="6"/>
        <v>226.26591661854954</v>
      </c>
      <c r="F46" s="71">
        <f t="shared" ca="1" si="6"/>
        <v>188.92893524759694</v>
      </c>
      <c r="G46" s="76">
        <f t="shared" ca="1" si="6"/>
        <v>76.917991134738998</v>
      </c>
    </row>
    <row r="47" spans="1:9" ht="13.2">
      <c r="B47" s="77">
        <v>0.14230000000000001</v>
      </c>
      <c r="C47" s="71">
        <f t="shared" ref="C47:G47" ca="1" si="7">IFERROR(($B$34+$B$35+(($F$28*(1+C$44))/(INDIRECT("B"&amp;ROW())-C$44))/(1+INDIRECT("B"&amp;ROW()))^5)/$B$21,"N/A")</f>
        <v>266.46974636007235</v>
      </c>
      <c r="D47" s="71">
        <f t="shared" ca="1" si="7"/>
        <v>259.82342770904046</v>
      </c>
      <c r="E47" s="78">
        <f t="shared" ca="1" si="7"/>
        <v>249.9766345872066</v>
      </c>
      <c r="F47" s="71">
        <f t="shared" ca="1" si="7"/>
        <v>233.88451813228582</v>
      </c>
      <c r="G47" s="76">
        <f t="shared" ca="1" si="7"/>
        <v>202.84616348394007</v>
      </c>
    </row>
    <row r="48" spans="1:9" ht="13.2">
      <c r="B48" s="57">
        <v>0.16</v>
      </c>
      <c r="C48" s="71">
        <f t="shared" ref="C48:G48" ca="1" si="8">IFERROR(($B$34+$B$35+(($F$28*(1+C$44))/(INDIRECT("B"&amp;ROW())-C$44))/(1+INDIRECT("B"&amp;ROW()))^5)/$B$21,"N/A")</f>
        <v>273.49055426483432</v>
      </c>
      <c r="D48" s="71">
        <f t="shared" ca="1" si="8"/>
        <v>269.22343467991772</v>
      </c>
      <c r="E48" s="71">
        <f t="shared" ca="1" si="8"/>
        <v>263.35614525065739</v>
      </c>
      <c r="F48" s="71">
        <f t="shared" ca="1" si="8"/>
        <v>254.78087608481536</v>
      </c>
      <c r="G48" s="76">
        <f t="shared" ca="1" si="8"/>
        <v>241.06044541946812</v>
      </c>
    </row>
    <row r="49" spans="1:7" ht="13.2">
      <c r="B49" s="54">
        <v>0.17499999999999999</v>
      </c>
      <c r="C49" s="71">
        <f t="shared" ref="C49:G49" ca="1" si="9">IFERROR(($B$34+$B$35+(($F$28*(1+C$44))/(INDIRECT("B"&amp;ROW())-C$44))/(1+INDIRECT("B"&amp;ROW()))^5)/$B$21,"N/A")</f>
        <v>277.76545730925011</v>
      </c>
      <c r="D49" s="71">
        <f t="shared" ca="1" si="9"/>
        <v>274.68490280778309</v>
      </c>
      <c r="E49" s="71">
        <f t="shared" ca="1" si="9"/>
        <v>270.63154162164227</v>
      </c>
      <c r="F49" s="71">
        <f t="shared" ca="1" si="9"/>
        <v>265.05816999069867</v>
      </c>
      <c r="G49" s="76">
        <f t="shared" ca="1" si="9"/>
        <v>256.91247299162723</v>
      </c>
    </row>
    <row r="51" spans="1:7" ht="13.2">
      <c r="A51" s="7" t="s">
        <v>124</v>
      </c>
    </row>
    <row r="52" spans="1:7" ht="13.2">
      <c r="A52" s="7" t="s">
        <v>125</v>
      </c>
    </row>
    <row r="53" spans="1:7" ht="13.2">
      <c r="A53" s="7" t="s">
        <v>126</v>
      </c>
    </row>
    <row r="59" spans="1:7" ht="13.2">
      <c r="A59" s="7" t="s">
        <v>127</v>
      </c>
    </row>
    <row r="60" spans="1:7" ht="13.2">
      <c r="A60" s="7" t="s">
        <v>128</v>
      </c>
    </row>
    <row r="62" spans="1:7" ht="13.2">
      <c r="A62" s="7" t="s">
        <v>129</v>
      </c>
    </row>
    <row r="63" spans="1:7" ht="13.2">
      <c r="A63" s="7" t="s">
        <v>130</v>
      </c>
    </row>
    <row r="65" spans="1:1" ht="13.2">
      <c r="A65" s="7" t="s">
        <v>131</v>
      </c>
    </row>
    <row r="66" spans="1:1" ht="13.2">
      <c r="A66" s="7" t="s">
        <v>132</v>
      </c>
    </row>
    <row r="67" spans="1:1" ht="13.2">
      <c r="A67" s="7" t="s">
        <v>133</v>
      </c>
    </row>
    <row r="68" spans="1:1" ht="13.2">
      <c r="A68" s="7" t="s">
        <v>134</v>
      </c>
    </row>
    <row r="69" spans="1:1" ht="13.2">
      <c r="A69" s="7" t="s">
        <v>135</v>
      </c>
    </row>
    <row r="70" spans="1:1" ht="13.2">
      <c r="A70" s="7" t="s">
        <v>136</v>
      </c>
    </row>
    <row r="72" spans="1:1" ht="13.2">
      <c r="A72" s="7" t="s">
        <v>137</v>
      </c>
    </row>
    <row r="73" spans="1:1" ht="13.2">
      <c r="A73" s="7" t="s">
        <v>138</v>
      </c>
    </row>
    <row r="75" spans="1:1" ht="13.2">
      <c r="A75" s="7" t="s">
        <v>139</v>
      </c>
    </row>
    <row r="76" spans="1:1" ht="13.2">
      <c r="A76" s="7" t="s">
        <v>140</v>
      </c>
    </row>
  </sheetData>
  <conditionalFormatting sqref="C45:G49">
    <cfRule type="cellIs" dxfId="1" priority="1" operator="greaterThan">
      <formula>799</formula>
    </cfRule>
    <cfRule type="cellIs" dxfId="0" priority="2" operator="lessThan">
      <formula>799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24"/>
  <sheetViews>
    <sheetView workbookViewId="0">
      <selection activeCell="D21" sqref="D21"/>
    </sheetView>
  </sheetViews>
  <sheetFormatPr defaultColWidth="12.6640625" defaultRowHeight="15.75" customHeight="1"/>
  <cols>
    <col min="1" max="1" width="24.109375" customWidth="1"/>
    <col min="2" max="2" width="34.77734375" customWidth="1"/>
    <col min="3" max="3" width="18" customWidth="1"/>
    <col min="4" max="4" width="24" customWidth="1"/>
    <col min="5" max="5" width="21.109375" customWidth="1"/>
    <col min="6" max="6" width="23.44140625" customWidth="1"/>
    <col min="7" max="7" width="15.21875" customWidth="1"/>
    <col min="8" max="8" width="24.44140625" customWidth="1"/>
  </cols>
  <sheetData>
    <row r="1" spans="1:8">
      <c r="A1" s="112" t="s">
        <v>141</v>
      </c>
      <c r="B1" s="79"/>
      <c r="D1" s="112" t="s">
        <v>142</v>
      </c>
      <c r="E1" s="80"/>
      <c r="F1" s="80"/>
      <c r="G1" s="80"/>
      <c r="H1" s="79"/>
    </row>
    <row r="2" spans="1:8" ht="13.2">
      <c r="A2" s="81" t="s">
        <v>143</v>
      </c>
      <c r="B2" s="82" t="s">
        <v>144</v>
      </c>
      <c r="D2" s="110" t="s">
        <v>145</v>
      </c>
      <c r="E2" s="111" t="s">
        <v>146</v>
      </c>
      <c r="F2" s="111" t="s">
        <v>196</v>
      </c>
      <c r="G2" s="111" t="s">
        <v>147</v>
      </c>
      <c r="H2" s="82"/>
    </row>
    <row r="3" spans="1:8">
      <c r="A3" s="81" t="s">
        <v>148</v>
      </c>
      <c r="B3" s="82" t="s">
        <v>149</v>
      </c>
      <c r="D3" s="81" t="s">
        <v>150</v>
      </c>
      <c r="E3" s="7">
        <v>165</v>
      </c>
      <c r="F3" s="7">
        <v>799</v>
      </c>
      <c r="G3" s="54">
        <f t="shared" ref="G3:G4" si="0">(E3/F3)-1</f>
        <v>-0.79349186483103884</v>
      </c>
      <c r="H3" s="82"/>
    </row>
    <row r="4" spans="1:8">
      <c r="A4" s="81" t="s">
        <v>151</v>
      </c>
      <c r="B4" s="83">
        <v>799</v>
      </c>
      <c r="D4" s="81" t="s">
        <v>111</v>
      </c>
      <c r="E4" s="7">
        <v>244</v>
      </c>
      <c r="F4" s="7">
        <v>799</v>
      </c>
      <c r="G4" s="54">
        <f t="shared" si="0"/>
        <v>-0.69461827284105127</v>
      </c>
      <c r="H4" s="82"/>
    </row>
    <row r="5" spans="1:8">
      <c r="A5" s="84" t="s">
        <v>152</v>
      </c>
      <c r="B5" s="85" t="s">
        <v>153</v>
      </c>
      <c r="D5" s="81"/>
      <c r="H5" s="82"/>
    </row>
    <row r="6" spans="1:8">
      <c r="A6" s="86"/>
      <c r="D6" s="105" t="s">
        <v>154</v>
      </c>
      <c r="E6" s="106"/>
      <c r="F6" s="106"/>
      <c r="G6" s="106"/>
      <c r="H6" s="107"/>
    </row>
    <row r="7" spans="1:8">
      <c r="A7" s="87"/>
      <c r="B7" s="88"/>
    </row>
    <row r="8" spans="1:8">
      <c r="A8" s="113" t="s">
        <v>155</v>
      </c>
      <c r="B8" s="82"/>
    </row>
    <row r="9" spans="1:8">
      <c r="A9" s="81" t="s">
        <v>156</v>
      </c>
      <c r="B9" s="82" t="s">
        <v>157</v>
      </c>
    </row>
    <row r="10" spans="1:8">
      <c r="A10" s="81" t="s">
        <v>158</v>
      </c>
      <c r="B10" s="82" t="s">
        <v>159</v>
      </c>
    </row>
    <row r="11" spans="1:8">
      <c r="A11" s="81" t="s">
        <v>160</v>
      </c>
      <c r="B11" s="82" t="s">
        <v>161</v>
      </c>
    </row>
    <row r="12" spans="1:8">
      <c r="A12" s="81" t="s">
        <v>162</v>
      </c>
      <c r="B12" s="89">
        <v>0.14230000000000001</v>
      </c>
    </row>
    <row r="13" spans="1:8">
      <c r="A13" s="81" t="s">
        <v>163</v>
      </c>
      <c r="B13" s="82" t="s">
        <v>164</v>
      </c>
    </row>
    <row r="14" spans="1:8">
      <c r="A14" s="84" t="s">
        <v>165</v>
      </c>
      <c r="B14" s="85" t="s">
        <v>166</v>
      </c>
    </row>
    <row r="16" spans="1:8" ht="26.4">
      <c r="A16" s="114" t="s">
        <v>167</v>
      </c>
      <c r="B16" s="108"/>
      <c r="C16" s="108"/>
      <c r="D16" s="108"/>
      <c r="E16" s="108"/>
      <c r="F16" s="108"/>
    </row>
    <row r="17" spans="1:7" ht="92.4">
      <c r="A17" s="90" t="s">
        <v>168</v>
      </c>
      <c r="B17" s="90" t="s">
        <v>169</v>
      </c>
      <c r="C17" s="108"/>
      <c r="D17" s="108"/>
      <c r="E17" s="108"/>
      <c r="F17" s="108"/>
    </row>
    <row r="18" spans="1:7" ht="13.2">
      <c r="A18" s="114" t="s">
        <v>170</v>
      </c>
      <c r="B18" s="108"/>
      <c r="C18" s="108"/>
      <c r="D18" s="108"/>
      <c r="E18" s="108"/>
      <c r="F18" s="108"/>
    </row>
    <row r="19" spans="1:7" ht="119.4" customHeight="1">
      <c r="A19" s="109" t="s">
        <v>171</v>
      </c>
      <c r="B19" s="90" t="s">
        <v>172</v>
      </c>
      <c r="C19" s="109" t="s">
        <v>173</v>
      </c>
      <c r="D19" s="90" t="s">
        <v>174</v>
      </c>
      <c r="E19" s="109" t="s">
        <v>175</v>
      </c>
      <c r="F19" s="90" t="s">
        <v>176</v>
      </c>
    </row>
    <row r="20" spans="1:7" ht="15.75" customHeight="1">
      <c r="A20" s="108"/>
      <c r="B20" s="108"/>
      <c r="C20" s="108"/>
      <c r="D20" s="108"/>
      <c r="E20" s="108"/>
      <c r="F20" s="108"/>
    </row>
    <row r="24" spans="1:7">
      <c r="G24" s="7"/>
    </row>
  </sheetData>
  <mergeCells count="1">
    <mergeCell ref="D6:H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1"/>
  <sheetViews>
    <sheetView workbookViewId="0"/>
  </sheetViews>
  <sheetFormatPr defaultColWidth="12.6640625" defaultRowHeight="15.75" customHeight="1"/>
  <cols>
    <col min="1" max="1" width="50.77734375" customWidth="1"/>
    <col min="2" max="2" width="14.33203125" customWidth="1"/>
    <col min="7" max="7" width="115" customWidth="1"/>
  </cols>
  <sheetData>
    <row r="1" spans="1:7">
      <c r="B1" s="3" t="s">
        <v>3</v>
      </c>
      <c r="C1" s="3" t="s">
        <v>4</v>
      </c>
      <c r="D1" s="3" t="s">
        <v>5</v>
      </c>
      <c r="E1" s="3" t="s">
        <v>6</v>
      </c>
      <c r="F1" s="3" t="s">
        <v>7</v>
      </c>
    </row>
    <row r="2" spans="1:7">
      <c r="A2" s="19" t="s">
        <v>90</v>
      </c>
      <c r="B2" s="6">
        <f>IS!E11</f>
        <v>576910862.73757911</v>
      </c>
      <c r="C2" s="6">
        <f>IS!F11</f>
        <v>649249893.85771739</v>
      </c>
      <c r="D2" s="6">
        <f>IS!G11</f>
        <v>730659538.41468418</v>
      </c>
      <c r="E2" s="6">
        <f>IS!H11</f>
        <v>822277163.42662191</v>
      </c>
      <c r="F2" s="6">
        <f>IS!I11</f>
        <v>925382750.71308279</v>
      </c>
    </row>
    <row r="3" spans="1:7">
      <c r="A3" s="19" t="s">
        <v>91</v>
      </c>
      <c r="B3" s="6">
        <f>BS!E13-BS!D13</f>
        <v>439498734.05056667</v>
      </c>
      <c r="C3" s="6">
        <f>BS!F13-BS!E13</f>
        <v>494607615.94764233</v>
      </c>
      <c r="D3" s="6">
        <f>BS!G13-BS!F13</f>
        <v>556626617.5530405</v>
      </c>
      <c r="E3" s="6">
        <f>BS!H13-BS!G13</f>
        <v>626422200.90953159</v>
      </c>
      <c r="F3" s="6">
        <f>BS!I13-BS!H13</f>
        <v>704969474.00283146</v>
      </c>
    </row>
    <row r="4" spans="1:7">
      <c r="A4" s="19" t="s">
        <v>92</v>
      </c>
      <c r="B4" s="6">
        <f t="shared" ref="B4:F4" si="0">B2-B3</f>
        <v>137412128.68701243</v>
      </c>
      <c r="C4" s="6">
        <f t="shared" si="0"/>
        <v>154642277.91007507</v>
      </c>
      <c r="D4" s="6">
        <f t="shared" si="0"/>
        <v>174032920.86164367</v>
      </c>
      <c r="E4" s="6">
        <f t="shared" si="0"/>
        <v>195854962.51709032</v>
      </c>
      <c r="F4" s="6">
        <f t="shared" si="0"/>
        <v>220413276.71025133</v>
      </c>
    </row>
    <row r="5" spans="1:7">
      <c r="A5" s="58" t="s">
        <v>93</v>
      </c>
      <c r="B5" s="44">
        <v>1</v>
      </c>
      <c r="C5" s="44">
        <v>2</v>
      </c>
      <c r="D5" s="44">
        <v>3</v>
      </c>
      <c r="E5" s="44">
        <v>4</v>
      </c>
      <c r="F5" s="44">
        <v>5</v>
      </c>
      <c r="G5" s="6"/>
    </row>
    <row r="6" spans="1:7">
      <c r="A6" s="19" t="s">
        <v>94</v>
      </c>
      <c r="B6" s="6">
        <f t="shared" ref="B6:F6" si="1">B4/(1+$B$12)^B5</f>
        <v>124766993.85936572</v>
      </c>
      <c r="C6" s="6">
        <f t="shared" si="1"/>
        <v>127490412.42470829</v>
      </c>
      <c r="D6" s="6">
        <f t="shared" si="1"/>
        <v>130273277.87141414</v>
      </c>
      <c r="E6" s="6">
        <f t="shared" si="1"/>
        <v>133116887.80821326</v>
      </c>
      <c r="F6" s="6">
        <f t="shared" si="1"/>
        <v>136022568.16808558</v>
      </c>
      <c r="G6" s="6"/>
    </row>
    <row r="8" spans="1:7">
      <c r="A8" s="59" t="s">
        <v>95</v>
      </c>
      <c r="B8" s="60">
        <v>7.0000000000000007E-2</v>
      </c>
    </row>
    <row r="9" spans="1:7">
      <c r="A9" s="61" t="s">
        <v>96</v>
      </c>
      <c r="B9" s="62">
        <v>0.75</v>
      </c>
    </row>
    <row r="10" spans="1:7">
      <c r="A10" s="61" t="s">
        <v>97</v>
      </c>
      <c r="B10" s="63">
        <v>4.1799999999999997E-2</v>
      </c>
    </row>
    <row r="11" spans="1:7">
      <c r="A11" s="64"/>
      <c r="B11" s="65"/>
    </row>
    <row r="12" spans="1:7">
      <c r="A12" s="66" t="s">
        <v>98</v>
      </c>
      <c r="B12" s="67">
        <f>B8+B9*B10</f>
        <v>0.10135</v>
      </c>
    </row>
    <row r="14" spans="1:7">
      <c r="A14" s="7" t="s">
        <v>99</v>
      </c>
      <c r="B14" s="91">
        <f>Assumptions!B14</f>
        <v>0.08</v>
      </c>
    </row>
    <row r="16" spans="1:7">
      <c r="A16" s="92" t="s">
        <v>177</v>
      </c>
      <c r="F16" s="6">
        <f>F4*(1+B14)/(B12-B14)</f>
        <v>11149711421.408501</v>
      </c>
    </row>
    <row r="17" spans="1:7">
      <c r="A17" s="7" t="s">
        <v>101</v>
      </c>
    </row>
    <row r="18" spans="1:7">
      <c r="A18" s="19" t="s">
        <v>102</v>
      </c>
      <c r="F18" s="6">
        <f>F16/(1+$B$12)^5</f>
        <v>6880766914.3574915</v>
      </c>
    </row>
    <row r="20" spans="1:7">
      <c r="A20" s="19" t="s">
        <v>103</v>
      </c>
      <c r="B20" s="6">
        <f>SUM(B6:F6)+F18</f>
        <v>7532437054.4892788</v>
      </c>
    </row>
    <row r="21" spans="1:7">
      <c r="A21" s="19" t="s">
        <v>104</v>
      </c>
      <c r="B21" s="44">
        <v>15403717</v>
      </c>
      <c r="C21" s="7" t="s">
        <v>105</v>
      </c>
      <c r="G21" s="93" t="s">
        <v>178</v>
      </c>
    </row>
    <row r="22" spans="1:7">
      <c r="A22" s="19" t="s">
        <v>106</v>
      </c>
      <c r="B22" s="71">
        <f>B20/B21</f>
        <v>489.00126212973652</v>
      </c>
      <c r="G22" s="93" t="s">
        <v>179</v>
      </c>
    </row>
    <row r="24" spans="1:7">
      <c r="A24" s="3" t="s">
        <v>107</v>
      </c>
      <c r="B24" s="3" t="s">
        <v>3</v>
      </c>
      <c r="C24" s="3" t="s">
        <v>4</v>
      </c>
      <c r="D24" s="3" t="s">
        <v>5</v>
      </c>
      <c r="E24" s="3" t="s">
        <v>6</v>
      </c>
      <c r="F24" s="3" t="s">
        <v>7</v>
      </c>
    </row>
    <row r="25" spans="1:7">
      <c r="A25" s="7" t="s">
        <v>108</v>
      </c>
      <c r="B25" s="6">
        <f>BS!D13</f>
        <v>4968542229</v>
      </c>
      <c r="C25" s="6">
        <f>BS!E13</f>
        <v>5408040963.0505667</v>
      </c>
      <c r="D25" s="6">
        <f>BS!F13</f>
        <v>5902648578.998209</v>
      </c>
      <c r="E25" s="6">
        <f>BS!G13</f>
        <v>6459275196.5512495</v>
      </c>
      <c r="F25" s="6">
        <f>BS!H13</f>
        <v>7085697397.4607811</v>
      </c>
    </row>
    <row r="26" spans="1:7">
      <c r="A26" s="7" t="s">
        <v>109</v>
      </c>
      <c r="B26" s="6">
        <f>IS!E11</f>
        <v>576910862.73757911</v>
      </c>
      <c r="C26" s="6">
        <f>IS!F11</f>
        <v>649249893.85771739</v>
      </c>
      <c r="D26" s="6">
        <f>IS!G11</f>
        <v>730659538.41468418</v>
      </c>
      <c r="E26" s="6">
        <f>IS!H11</f>
        <v>822277163.42662191</v>
      </c>
      <c r="F26" s="6">
        <f>IS!I11</f>
        <v>925382750.71308279</v>
      </c>
    </row>
    <row r="27" spans="1:7">
      <c r="A27" s="7" t="s">
        <v>110</v>
      </c>
      <c r="B27" s="6">
        <f t="shared" ref="B27:F27" si="2">$B$12*B25</f>
        <v>503561754.90915</v>
      </c>
      <c r="C27" s="6">
        <f t="shared" si="2"/>
        <v>548104951.6051749</v>
      </c>
      <c r="D27" s="6">
        <f t="shared" si="2"/>
        <v>598233433.48146844</v>
      </c>
      <c r="E27" s="6">
        <f t="shared" si="2"/>
        <v>654647541.17046916</v>
      </c>
      <c r="F27" s="6">
        <f t="shared" si="2"/>
        <v>718135431.23265016</v>
      </c>
    </row>
    <row r="28" spans="1:7">
      <c r="A28" s="7" t="s">
        <v>111</v>
      </c>
      <c r="B28" s="6">
        <f t="shared" ref="B28:F28" si="3">B26-B27</f>
        <v>73349107.828429103</v>
      </c>
      <c r="C28" s="6">
        <f t="shared" si="3"/>
        <v>101144942.2525425</v>
      </c>
      <c r="D28" s="6">
        <f t="shared" si="3"/>
        <v>132426104.93321574</v>
      </c>
      <c r="E28" s="6">
        <f t="shared" si="3"/>
        <v>167629622.25615275</v>
      </c>
      <c r="F28" s="6">
        <f t="shared" si="3"/>
        <v>207247319.48043263</v>
      </c>
    </row>
    <row r="29" spans="1:7">
      <c r="A29" s="7" t="s">
        <v>112</v>
      </c>
      <c r="B29" s="6">
        <f t="shared" ref="B29:F29" si="4">B28/(1+$B$12)^B5</f>
        <v>66599271.647005126</v>
      </c>
      <c r="C29" s="6">
        <f t="shared" si="4"/>
        <v>83386060.89305301</v>
      </c>
      <c r="D29" s="6">
        <f t="shared" si="4"/>
        <v>99128272.283086509</v>
      </c>
      <c r="E29" s="6">
        <f t="shared" si="4"/>
        <v>113932949.83402988</v>
      </c>
      <c r="F29" s="6">
        <f t="shared" si="4"/>
        <v>127897525.33255196</v>
      </c>
    </row>
    <row r="31" spans="1:7">
      <c r="A31" s="7" t="s">
        <v>113</v>
      </c>
      <c r="F31" s="15">
        <f>F28*(1+Assumptions!F14)/($B$12-Assumptions!F14)</f>
        <v>14833841500.882175</v>
      </c>
    </row>
    <row r="32" spans="1:7">
      <c r="A32" s="7" t="s">
        <v>114</v>
      </c>
      <c r="F32" s="6">
        <f>F31/(1+$B$12)^5</f>
        <v>9154336103.8127441</v>
      </c>
    </row>
    <row r="34" spans="1:2">
      <c r="A34" s="7" t="s">
        <v>115</v>
      </c>
      <c r="B34" s="6">
        <f>BS!D13</f>
        <v>4968542229</v>
      </c>
    </row>
    <row r="35" spans="1:2">
      <c r="A35" s="7" t="s">
        <v>116</v>
      </c>
      <c r="B35" s="6">
        <f>SUM(B29:F29)</f>
        <v>490944079.98972648</v>
      </c>
    </row>
    <row r="36" spans="1:2">
      <c r="A36" s="7" t="s">
        <v>117</v>
      </c>
      <c r="B36" s="6">
        <f>B34+B35+F32</f>
        <v>14613822412.802471</v>
      </c>
    </row>
    <row r="38" spans="1:2">
      <c r="A38" s="7" t="s">
        <v>118</v>
      </c>
      <c r="B38" s="71">
        <f>B36/B21</f>
        <v>948.72052069006918</v>
      </c>
    </row>
    <row r="39" spans="1:2">
      <c r="A39" s="42" t="s">
        <v>180</v>
      </c>
      <c r="B39" s="54">
        <f>(B38/799)-1</f>
        <v>0.18738488196504277</v>
      </c>
    </row>
    <row r="41" spans="1:2">
      <c r="A41" s="7" t="s">
        <v>181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D11"/>
  <sheetViews>
    <sheetView workbookViewId="0">
      <selection activeCell="F4" sqref="F4"/>
    </sheetView>
  </sheetViews>
  <sheetFormatPr defaultColWidth="12.6640625" defaultRowHeight="15.75" customHeight="1"/>
  <cols>
    <col min="1" max="1" width="24.109375" customWidth="1"/>
    <col min="2" max="2" width="16.21875" customWidth="1"/>
    <col min="6" max="6" width="44.6640625" customWidth="1"/>
    <col min="7" max="7" width="2.6640625" customWidth="1"/>
    <col min="8" max="8" width="68.88671875" customWidth="1"/>
  </cols>
  <sheetData>
    <row r="1" spans="1:30" ht="13.2">
      <c r="B1" s="3" t="s">
        <v>182</v>
      </c>
      <c r="C1" s="3" t="s">
        <v>183</v>
      </c>
      <c r="D1" s="3" t="s">
        <v>184</v>
      </c>
      <c r="E1" s="3" t="s">
        <v>185</v>
      </c>
      <c r="F1" s="7" t="s">
        <v>187</v>
      </c>
    </row>
    <row r="2" spans="1:30" ht="13.8">
      <c r="A2" s="3" t="s">
        <v>186</v>
      </c>
      <c r="B2" s="94">
        <v>16.2</v>
      </c>
      <c r="C2" s="95">
        <v>2.1</v>
      </c>
      <c r="D2" s="96">
        <v>0.13800000000000001</v>
      </c>
      <c r="E2" s="97">
        <v>3.3799999999999997E-2</v>
      </c>
    </row>
    <row r="3" spans="1:30">
      <c r="A3" s="3" t="s">
        <v>188</v>
      </c>
      <c r="B3" s="94">
        <v>18.399999999999999</v>
      </c>
      <c r="C3" s="95">
        <v>2.8</v>
      </c>
      <c r="D3" s="96">
        <v>0.161</v>
      </c>
      <c r="E3" s="97">
        <v>4.3200000000000002E-2</v>
      </c>
    </row>
    <row r="4" spans="1:30">
      <c r="A4" s="3" t="s">
        <v>189</v>
      </c>
      <c r="B4" s="94">
        <v>20.7</v>
      </c>
      <c r="C4" s="95">
        <v>2.2000000000000002</v>
      </c>
      <c r="D4" s="96">
        <v>0.112</v>
      </c>
      <c r="E4" s="97">
        <v>4.6699999999999998E-2</v>
      </c>
    </row>
    <row r="5" spans="1:30">
      <c r="A5" s="3" t="s">
        <v>190</v>
      </c>
      <c r="B5" s="95">
        <v>16</v>
      </c>
      <c r="C5" s="95">
        <v>2</v>
      </c>
      <c r="D5" s="96">
        <v>0.13100000000000001</v>
      </c>
      <c r="E5" s="97">
        <v>3.6200000000000003E-2</v>
      </c>
    </row>
    <row r="6" spans="1:30">
      <c r="A6" s="51" t="s">
        <v>191</v>
      </c>
      <c r="B6" s="98">
        <f t="shared" ref="B6:E6" si="0">AVERAGE(B3:B5)</f>
        <v>18.366666666666664</v>
      </c>
      <c r="C6" s="98">
        <f t="shared" si="0"/>
        <v>2.3333333333333335</v>
      </c>
      <c r="D6" s="99">
        <f t="shared" si="0"/>
        <v>0.13466666666666668</v>
      </c>
      <c r="E6" s="99">
        <f t="shared" si="0"/>
        <v>4.2033333333333339E-2</v>
      </c>
    </row>
    <row r="7" spans="1:30" ht="13.2">
      <c r="F7" s="115"/>
      <c r="G7" s="115"/>
      <c r="H7" s="115"/>
    </row>
    <row r="8" spans="1:30" ht="95.4" customHeight="1">
      <c r="F8" s="100" t="s">
        <v>192</v>
      </c>
      <c r="G8" s="108"/>
      <c r="H8" s="116" t="s">
        <v>193</v>
      </c>
      <c r="I8" s="108"/>
      <c r="J8" s="108"/>
      <c r="K8" s="108"/>
      <c r="L8" s="108"/>
      <c r="M8" s="108"/>
      <c r="N8" s="108"/>
      <c r="O8" s="108"/>
      <c r="P8" s="108"/>
      <c r="Q8" s="108"/>
      <c r="R8" s="108"/>
      <c r="S8" s="108"/>
      <c r="T8" s="108"/>
      <c r="U8" s="108"/>
      <c r="V8" s="108"/>
      <c r="W8" s="108"/>
      <c r="X8" s="108"/>
      <c r="Y8" s="108"/>
      <c r="Z8" s="108"/>
      <c r="AA8" s="108"/>
      <c r="AB8" s="108"/>
      <c r="AC8" s="108"/>
      <c r="AD8" s="108"/>
    </row>
    <row r="9" spans="1:30" ht="108.6" customHeight="1">
      <c r="F9" s="100" t="s">
        <v>194</v>
      </c>
      <c r="G9" s="108"/>
      <c r="H9" s="108"/>
      <c r="I9" s="108"/>
      <c r="J9" s="108"/>
      <c r="K9" s="108"/>
      <c r="L9" s="108"/>
      <c r="M9" s="108"/>
      <c r="N9" s="108"/>
      <c r="O9" s="108"/>
      <c r="P9" s="108"/>
      <c r="Q9" s="108"/>
      <c r="R9" s="108"/>
      <c r="S9" s="108"/>
      <c r="T9" s="108"/>
      <c r="U9" s="108"/>
      <c r="V9" s="108"/>
      <c r="W9" s="108"/>
      <c r="X9" s="108"/>
      <c r="Y9" s="108"/>
      <c r="Z9" s="108"/>
      <c r="AA9" s="108"/>
      <c r="AB9" s="108"/>
      <c r="AC9" s="108"/>
      <c r="AD9" s="108"/>
    </row>
    <row r="10" spans="1:30" ht="13.2">
      <c r="F10" s="108"/>
      <c r="G10" s="108"/>
      <c r="H10" s="108"/>
      <c r="I10" s="108"/>
      <c r="J10" s="108"/>
      <c r="K10" s="108"/>
      <c r="L10" s="108"/>
      <c r="M10" s="108"/>
      <c r="N10" s="108"/>
      <c r="O10" s="108"/>
      <c r="P10" s="108"/>
      <c r="Q10" s="108"/>
      <c r="R10" s="108"/>
      <c r="S10" s="108"/>
      <c r="T10" s="108"/>
      <c r="U10" s="108"/>
      <c r="V10" s="108"/>
      <c r="W10" s="108"/>
      <c r="X10" s="108"/>
      <c r="Y10" s="108"/>
      <c r="Z10" s="108"/>
      <c r="AA10" s="108"/>
      <c r="AB10" s="108"/>
      <c r="AC10" s="108"/>
      <c r="AD10" s="108"/>
    </row>
    <row r="11" spans="1:30" ht="13.2">
      <c r="F11" s="115"/>
      <c r="G11" s="115"/>
      <c r="H11" s="1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IS</vt:lpstr>
      <vt:lpstr>BS</vt:lpstr>
      <vt:lpstr>CFS</vt:lpstr>
      <vt:lpstr>Assumptions</vt:lpstr>
      <vt:lpstr>DCF</vt:lpstr>
      <vt:lpstr>WM</vt:lpstr>
      <vt:lpstr>DCF( confusion)</vt:lpstr>
      <vt:lpstr>Comps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vanshu.0808@gmail.com</cp:lastModifiedBy>
  <dcterms:created xsi:type="dcterms:W3CDTF">2026-07-04T07:46:44Z</dcterms:created>
  <dcterms:modified xsi:type="dcterms:W3CDTF">2026-07-04T08:01:06Z</dcterms:modified>
</cp:coreProperties>
</file>